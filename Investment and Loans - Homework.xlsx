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w/Downloads/"/>
    </mc:Choice>
  </mc:AlternateContent>
  <xr:revisionPtr revIDLastSave="0" documentId="13_ncr:1_{94560AC1-EEBB-DB47-BA01-298816536672}" xr6:coauthVersionLast="47" xr6:coauthVersionMax="47" xr10:uidLastSave="{00000000-0000-0000-0000-000000000000}"/>
  <bookViews>
    <workbookView xWindow="0" yWindow="620" windowWidth="51200" windowHeight="26120" tabRatio="500" activeTab="4" xr2:uid="{00000000-000D-0000-FFFF-FFFF00000000}"/>
  </bookViews>
  <sheets>
    <sheet name="Instructions" sheetId="1" r:id="rId1"/>
    <sheet name="Task 1 Startup" sheetId="2" r:id="rId2"/>
    <sheet name="Task 2 Innovation fund" sheetId="3" r:id="rId3"/>
    <sheet name="Task 3 Solar panels" sheetId="4" r:id="rId4"/>
    <sheet name="Task 4 Community loan" sheetId="5" r:id="rId5"/>
    <sheet name="Task 5 Two more loans" sheetId="6" r:id="rId6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5" l="1"/>
  <c r="B8" i="5"/>
  <c r="C11" i="4"/>
  <c r="B11" i="4"/>
  <c r="D11" i="4" s="1"/>
  <c r="E38" i="3"/>
  <c r="D38" i="3"/>
  <c r="C38" i="3"/>
  <c r="B38" i="3"/>
  <c r="E10" i="3"/>
  <c r="D10" i="3"/>
  <c r="C10" i="3"/>
  <c r="B10" i="3"/>
  <c r="E9" i="3"/>
  <c r="D9" i="3"/>
  <c r="C9" i="3"/>
  <c r="B9" i="3"/>
  <c r="C11" i="2"/>
  <c r="D11" i="2" s="1"/>
  <c r="B11" i="2"/>
  <c r="C16" i="5" l="1"/>
  <c r="E16" i="5" s="1"/>
  <c r="D16" i="5"/>
</calcChain>
</file>

<file path=xl/sharedStrings.xml><?xml version="1.0" encoding="utf-8"?>
<sst xmlns="http://schemas.openxmlformats.org/spreadsheetml/2006/main" count="185" uniqueCount="145">
  <si>
    <t>Investments, Depreciation and Loans – Spreadsheet Homework</t>
  </si>
  <si>
    <t>Five tasks. In each one you build the spreadsheet model yourself, then use it to answer the questions.</t>
  </si>
  <si>
    <t>Colour key</t>
  </si>
  <si>
    <t>Yellow = your work. Type a formula or a written answer here.</t>
  </si>
  <si>
    <t>Blue = given information. Only change it when a question tells you to, then change it back.</t>
  </si>
  <si>
    <t>The tasks</t>
  </si>
  <si>
    <t>Tab</t>
  </si>
  <si>
    <t>Context</t>
  </si>
  <si>
    <t>What you practise</t>
  </si>
  <si>
    <t>Task 1 Startup</t>
  </si>
  <si>
    <t>Investing in a tech startup fund</t>
  </si>
  <si>
    <t>Simple vs compound interest; line chart</t>
  </si>
  <si>
    <t>Task 2 Innovation fund</t>
  </si>
  <si>
    <t>A startup's innovation fund</t>
  </si>
  <si>
    <t>Different interest rates and compounding periods</t>
  </si>
  <si>
    <t>Task 3 Solar panels</t>
  </si>
  <si>
    <t>Depreciation of a rooftop solar system</t>
  </si>
  <si>
    <t>Straight-line vs declining-balance depreciation</t>
  </si>
  <si>
    <t>Task 4 Community loan</t>
  </si>
  <si>
    <t>A loan for a community hall and garden</t>
  </si>
  <si>
    <t>Building a reducing balance loan table; what-if questions</t>
  </si>
  <si>
    <t>Task 5 Two more loans</t>
  </si>
  <si>
    <t>Sustainable agriculture and IT infrastructure loans</t>
  </si>
  <si>
    <t>Using PMT to find a repayment; building a loan model independently</t>
  </si>
  <si>
    <t>Rules for a good spreadsheet model</t>
  </si>
  <si>
    <t xml:space="preserve">   1.  Every yellow table cell must contain a formula starting with =, not a typed number.</t>
  </si>
  <si>
    <t xml:space="preserve">   2.  Formulas must use cell references (such as $B$5) for the given values, so the model updates when a value changes.</t>
  </si>
  <si>
    <t xml:space="preserve">   3.  Use $ signs to lock a reference before you fill a formula down or across.</t>
  </si>
  <si>
    <t xml:space="preserve">   4.  Use the check figures on each tab to test your formulas before you answer the questions.</t>
  </si>
  <si>
    <t xml:space="preserve">   5.  Every chart needs a title, axis titles and a legend if it has more than one line. Place charts to the right of the questions.</t>
  </si>
  <si>
    <t xml:space="preserve">   6.  Written answers should include the numbers from your spreadsheet that support them.</t>
  </si>
  <si>
    <t>Task 1   Investing in a tech startup: simple vs compound interest</t>
  </si>
  <si>
    <t>You have $8,000 to invest in a fund that backs a tech startup. Option A pays simple interest. Option B pays a lower rate, but the interest compounds annually.</t>
  </si>
  <si>
    <t>Given information</t>
  </si>
  <si>
    <t>What to do</t>
  </si>
  <si>
    <t>Amount invested ($)</t>
  </si>
  <si>
    <t>1. Year 0 is done for you. In B12, write a formula for the value of Option A after 1 year (simple interest). Use cell references with $ signs, not typed numbers.</t>
  </si>
  <si>
    <t>Option A: simple interest rate p.a.</t>
  </si>
  <si>
    <t>Option B: compound interest rate p.a.</t>
  </si>
  <si>
    <t>2. In C12, write a formula for the value of Option B (compound interest). In D12, find the difference, Option B − Option A.</t>
  </si>
  <si>
    <t>Your table</t>
  </si>
  <si>
    <t>3. Fill all three formulas down to Year 20.</t>
  </si>
  <si>
    <t>Year</t>
  </si>
  <si>
    <t>Option A value ($)</t>
  </si>
  <si>
    <t>Option B value ($)</t>
  </si>
  <si>
    <t>Difference, B − A ($)</t>
  </si>
  <si>
    <t>Check: after 20 years Option A should be $20,000.00 and Option B should be $25,657.08.</t>
  </si>
  <si>
    <t>Questions – type your answers in the yellow boxes</t>
  </si>
  <si>
    <t>Q1.  What is each option worth after 10 years? Which is better at that point?</t>
  </si>
  <si>
    <t>Q2.  In which year does Option B first become worth more than Option A?</t>
  </si>
  <si>
    <t>Q3.  Insert a line chart showing both options over the 20 years. Describe the shape of each graph and explain what causes it.</t>
  </si>
  <si>
    <t>Q4.  Change Option B's rate to 5%. In which year does Option B overtake Option A now? (Change it back to 6% afterwards.)</t>
  </si>
  <si>
    <t>Q5.  The startup offers Option C: 10% p.a. simple interest. For a 20-year investment, would you choose Option C or Option B (6% compound)? Would your answer change for a 10-year investment? Use numbers.</t>
  </si>
  <si>
    <t>Task 2   A startup's innovation fund: interest rates and compounding periods</t>
  </si>
  <si>
    <t>A tech startup sets aside $50,000 in an innovation fund to pay for future research. Explore how the interest rate and the compounding frequency affect how the fund grows.</t>
  </si>
  <si>
    <t>Part A – different interest rates (compounding monthly)</t>
  </si>
  <si>
    <t>1. Part A: Year 0 is done for you. In B11, write ONE compound interest formula that can be filled across to E11 and then down to Year 20. Use A = P(1 + r/k)^(k × n), where k is the number of compounding periods per year.</t>
  </si>
  <si>
    <t>Compounding periods per year</t>
  </si>
  <si>
    <t>Annual interest rate</t>
  </si>
  <si>
    <t xml:space="preserve">    Hint: write the rate as B$8 and the year as $A11 so each stays locked in the right direction. Lock the amount invested and the periods per year completely ($B$5, $B$6).</t>
  </si>
  <si>
    <t>2. Part B: in B39, write one formula that can be filled across and down to Year 10. This time the rate is fixed (B33) and the periods per year change (row 36).</t>
  </si>
  <si>
    <t>Check: Part A, 6% after 20 years = $165,510.22. Part B, quarterly after 10 years = $90,700.92.</t>
  </si>
  <si>
    <t>Q1.  Part A: what is the fund worth after 20 years at each interest rate?</t>
  </si>
  <si>
    <t>Q2.  When the rate doubles from 4% to 8%, does the interest earned over 20 years double? Explain using your numbers.</t>
  </si>
  <si>
    <t>Q3.  Part A: by the end of which year has the fund first doubled to $100,000 at each rate?</t>
  </si>
  <si>
    <t>Part B – different compounding periods (same rate)</t>
  </si>
  <si>
    <t>Q4.  Insert a line chart of Part A showing all four rates. What happens to the gap between the lines over time?</t>
  </si>
  <si>
    <t>Compounding</t>
  </si>
  <si>
    <t>Annually</t>
  </si>
  <si>
    <t>Quarterly</t>
  </si>
  <si>
    <t>Monthly</t>
  </si>
  <si>
    <t>Daily</t>
  </si>
  <si>
    <t>Periods per year</t>
  </si>
  <si>
    <t>Annually ($)</t>
  </si>
  <si>
    <t>Quarterly ($)</t>
  </si>
  <si>
    <t>Monthly ($)</t>
  </si>
  <si>
    <t>Daily ($)</t>
  </si>
  <si>
    <t>Q5.  Part B: after 10 years, how much more does daily compounding earn than annual compounding? How much more does monthly earn than annual?</t>
  </si>
  <si>
    <t>Q6.  Which has the bigger effect on the fund after 10 years: raising the rate from 6% to 8% (compounding annually), or keeping 6% and changing from annual to daily compounding? Support your answer with numbers.</t>
  </si>
  <si>
    <t>Task 3   Depreciation of solar panels: straight-line vs declining balance</t>
  </si>
  <si>
    <t>A school installs a $12,000 rooftop solar system. Its value can be depreciated by a fixed amount each year (straight-line) or by a fixed percentage each year (declining balance).</t>
  </si>
  <si>
    <t>Cost of the solar system ($)</t>
  </si>
  <si>
    <t>1. Year 0 is done for you. In B12, write a formula for the straight-line value after 1 year: S = V0 − Dn. An asset cannot be worth less than $0, so wrap your formula in MAX(0, … ).</t>
  </si>
  <si>
    <t>Straight-line depreciation per year ($)</t>
  </si>
  <si>
    <t>Declining-balance rate per year</t>
  </si>
  <si>
    <t>2. In C12, write a formula for the declining-balance value: S = V0(1 − r)^n. In D12, find the difference.</t>
  </si>
  <si>
    <t>Straight-line value ($)</t>
  </si>
  <si>
    <t>Declining-balance value ($)</t>
  </si>
  <si>
    <t>Difference, straight-line − declining ($)</t>
  </si>
  <si>
    <t>Check: after 10 years the straight-line value should be $4,000.00 and the declining-balance value $2,362.49.</t>
  </si>
  <si>
    <t>Q1.  How much value does the system lose in its first 3 years under each method? Which method depreciates faster at the start?</t>
  </si>
  <si>
    <t>Q2.  After how many years is the system worth $0 under straight-line depreciation? Does it ever reach $0 under declining balance? Explain.</t>
  </si>
  <si>
    <t>Q3.  In which year does the straight-line value first fall below the declining-balance value?</t>
  </si>
  <si>
    <t>Q4.  Insert a line chart showing both methods over 20 years. Describe the shape of each graph.</t>
  </si>
  <si>
    <t>Q5.  The school will replace the system once its value falls below $2,000. In which year does this happen under each method?</t>
  </si>
  <si>
    <t>Q6.  Extension: by changing B7, find the declining-balance rate (to 1 decimal place) that gives about the same value as straight-line after 10 years. Change it back to 15% afterwards.</t>
  </si>
  <si>
    <t>Task 4   A reducing balance loan for a community project</t>
  </si>
  <si>
    <t>A community group borrows $180,000 to build a neighbourhood hall and shared garden. Interest is charged monthly on the balance owing, and the group makes a fixed repayment each month.</t>
  </si>
  <si>
    <t>Loan amount ($)</t>
  </si>
  <si>
    <t>1. Month 1 is done for you. Click each cell in row 16 to see how it works: interest = opening balance × monthly rate, and closing balance = opening balance + interest − repayment.</t>
  </si>
  <si>
    <t>Monthly repayment ($)</t>
  </si>
  <si>
    <t>2. In B17, link the opening balance to last month's closing balance. Then write the formulas for interest, repayment and closing balance in C17, D17 and E17, using row 16 as your guide.</t>
  </si>
  <si>
    <t>Monthly interest rate (= B6 ÷ 12)</t>
  </si>
  <si>
    <t>Summary – complete after your table</t>
  </si>
  <si>
    <t>3. Fill row 17 down to Month 180. The MIN in the repayment formula makes the final repayment smaller; rows after the loan is cleared will show a dash.</t>
  </si>
  <si>
    <t>Number of repayments needed</t>
  </si>
  <si>
    <t>Total repaid ($)</t>
  </si>
  <si>
    <t>4. Complete the summary cells B11:B13. Hints: =COUNTIF(D16:D195,"&gt;0") counts the repayments made, and =SUM( ) adds a column.</t>
  </si>
  <si>
    <t>Total interest paid ($)</t>
  </si>
  <si>
    <t>Check: the closing balance after Month 12 should be $165,361.21.</t>
  </si>
  <si>
    <t>Month</t>
  </si>
  <si>
    <t>Opening balance ($)</t>
  </si>
  <si>
    <t>Interest ($)</t>
  </si>
  <si>
    <t>Repayment ($)</t>
  </si>
  <si>
    <t>Closing balance ($)</t>
  </si>
  <si>
    <t>Q1.  How much is still owing after 1 year? After 5 years?</t>
  </si>
  <si>
    <t>Q2.  How many monthly repayments are needed to clear the loan? Write this in years and months.</t>
  </si>
  <si>
    <t>Q3.  How much interest does the group pay in total? What percentage of the amount borrowed is this?</t>
  </si>
  <si>
    <t>Q4.  Extra fundraising lifts the repayment to $2,500 a month. How much time and how much interest does this save? (Change B7, then change it back to 2,000.)</t>
  </si>
  <si>
    <t>Q5.  With the repayment back at $2,000, the interest rate rises to 6.9% p.a. How many repayments are needed now, and how much extra interest is paid? (Change B6, then change it back to 5.4%.)</t>
  </si>
  <si>
    <t>Q6.  Change the repayment to $810. What happens to the balance, and why? What does this tell you about the smallest repayment that would ever pay off this loan? (Change it back to 2,000.)</t>
  </si>
  <si>
    <t>Q7.  Insert a line chart of the closing balance against the month. Describe its shape. Why does the balance fall slowly at first and faster later?</t>
  </si>
  <si>
    <t>Task 5   Two more reducing balance loans: sustainable agriculture and IT infrastructure</t>
  </si>
  <si>
    <t>This time you build the whole model. Use the PMT function to find the repayment that clears each loan exactly, then build the loan table to check it.</t>
  </si>
  <si>
    <t>Part A – Sustainable agriculture loan</t>
  </si>
  <si>
    <t>Part B – IT infrastructure loan</t>
  </si>
  <si>
    <t>A farming co-operative borrows $95,000 to install drip irrigation and soil-moisture sensors. Interest is 7.2% p.a. with quarterly repayments over 6 years.</t>
  </si>
  <si>
    <t>A school borrows $60,000 to replace its servers and wi-fi network. Interest is 8.4% p.a. with monthly repayments over 4 years.</t>
  </si>
  <si>
    <t>1. For each loan, calculate the interest rate per period and the number of repayments (rows 12 and 13).</t>
  </si>
  <si>
    <t>2. In row 14, find the repayment that clears the loan exactly, using =-PMT(rate per period, number of repayments, loan amount). The minus sign makes the answer positive.</t>
  </si>
  <si>
    <t>3. Build each loan table yourself, using the same formulas as Task 4. The repayment column should simply refer to your repayment cell, locked with $ signs (no MIN needed this time).</t>
  </si>
  <si>
    <t>Repayments per year</t>
  </si>
  <si>
    <t>Loan term (years)</t>
  </si>
  <si>
    <t>4. Complete the totals in rows 15 and 16.</t>
  </si>
  <si>
    <t>Interest rate per period</t>
  </si>
  <si>
    <t>Check: the final closing balance of each loan should be $0.00.</t>
  </si>
  <si>
    <t>Number of repayments</t>
  </si>
  <si>
    <t>Repayment each period ($)</t>
  </si>
  <si>
    <t>Q1.  What is the repayment for each loan?</t>
  </si>
  <si>
    <t>Quarter</t>
  </si>
  <si>
    <t>Q2.  How much interest is paid on each loan in total? Which loan pays more interest as a percentage of the amount borrowed, and why?</t>
  </si>
  <si>
    <t>Q3.  The final closing balance of each loan is $0.00. What does this tell you about the PMT function?</t>
  </si>
  <si>
    <t>Q4.  IT loan: in a spare cell, use PMT to find the monthly repayment if the school repaid over 3 years instead of 4. How much interest would be saved? (Total interest = repayment × number of repayments − loan amount.)</t>
  </si>
  <si>
    <t>Q5.  Agriculture loan: after a poor season the co-op can only afford $4,000 a quarter. Type 4000 over your repayment formula in B14. How much is still owing after 6 years? (Press Ctrl+Z afterwards to bring your formula back.)</t>
  </si>
  <si>
    <t>Q6.  Insert a line chart of the closing balance for one of the loans. Then, looking back at Tasks 4 and 5, describe two ways a borrower can reduce the total interest paid on a reducing balance loan.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</si>
</sst>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0.000%"/>
    <numFmt numFmtId="167" formatCode="\$#,##0.00;[Red]&quot;-$&quot;#,##0.00;\-"/>
  </numFmts>
  <fonts count="7" x14ac:knownFonts="1">
    <font>
      <sz val="10"/>
      <name val="Arial"/>
      <charset val="1"/>
    </font>
    <font>
      <b/>
      <sz val="16"/>
      <color rgb="FFFFFFFF"/>
      <name val="Arial"/>
      <family val="2"/>
    </font>
    <font>
      <i/>
      <sz val="10"/>
      <color rgb="FF404040"/>
      <name val="Arial"/>
      <family val="2"/>
    </font>
    <font>
      <b/>
      <sz val="10"/>
      <name val="Arial"/>
      <family val="2"/>
    </font>
    <font>
      <b/>
      <sz val="11"/>
      <color rgb="FF1F4E5F"/>
      <name val="Arial"/>
      <family val="2"/>
    </font>
    <font>
      <sz val="10"/>
      <color rgb="FF0000FF"/>
      <name val="Arial"/>
      <family val="2"/>
    </font>
    <font>
      <b/>
      <sz val="10"/>
      <color rgb="FF1F4E5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404040"/>
      </patternFill>
    </fill>
    <fill>
      <patternFill patternType="solid">
        <fgColor rgb="FFFFF2A8"/>
        <bgColor rgb="FFFFFFCC"/>
      </patternFill>
    </fill>
    <fill>
      <patternFill patternType="solid">
        <fgColor rgb="FFDDEBF7"/>
        <bgColor rgb="FFD9E7EC"/>
      </patternFill>
    </fill>
    <fill>
      <patternFill patternType="solid">
        <fgColor rgb="FFD9E7EC"/>
        <bgColor rgb="FFDDEB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0" fillId="3" borderId="1" xfId="0" applyFill="1" applyBorder="1"/>
    <xf numFmtId="0" fontId="4" fillId="0" borderId="0" xfId="0" applyFont="1"/>
    <xf numFmtId="164" fontId="5" fillId="4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5" fillId="4" borderId="1" xfId="0" applyNumberFormat="1" applyFont="1" applyFill="1" applyBorder="1"/>
    <xf numFmtId="1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1" fontId="5" fillId="4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166" fontId="0" fillId="0" borderId="1" xfId="0" applyNumberFormat="1" applyBorder="1"/>
    <xf numFmtId="1" fontId="0" fillId="3" borderId="1" xfId="0" applyNumberFormat="1" applyFill="1" applyBorder="1"/>
    <xf numFmtId="167" fontId="0" fillId="0" borderId="1" xfId="0" applyNumberFormat="1" applyBorder="1"/>
    <xf numFmtId="167" fontId="0" fillId="3" borderId="1" xfId="0" applyNumberFormat="1" applyFill="1" applyBorder="1"/>
    <xf numFmtId="16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EC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4E5F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3"/>
  <sheetViews>
    <sheetView showGridLines="0" zoomScale="222" zoomScaleNormal="100" workbookViewId="0">
      <selection activeCell="A8" sqref="A8"/>
    </sheetView>
  </sheetViews>
  <sheetFormatPr baseColWidth="10" defaultColWidth="8.6640625" defaultRowHeight="13" x14ac:dyDescent="0.15"/>
  <cols>
    <col min="1" max="1" width="26" customWidth="1"/>
    <col min="2" max="2" width="50" customWidth="1"/>
    <col min="3" max="3" width="70" customWidth="1"/>
  </cols>
  <sheetData>
    <row r="1" spans="1:3" ht="31.5" customHeight="1" x14ac:dyDescent="0.15">
      <c r="A1" s="5" t="s">
        <v>0</v>
      </c>
      <c r="B1" s="5"/>
      <c r="C1" s="5"/>
    </row>
    <row r="2" spans="1:3" ht="31.5" customHeight="1" x14ac:dyDescent="0.15">
      <c r="A2" s="4" t="s">
        <v>1</v>
      </c>
      <c r="B2" s="4"/>
      <c r="C2" s="4"/>
    </row>
    <row r="4" spans="1:3" ht="14" x14ac:dyDescent="0.15">
      <c r="A4" s="8" t="s">
        <v>2</v>
      </c>
    </row>
    <row r="5" spans="1:3" x14ac:dyDescent="0.15">
      <c r="A5" s="7"/>
      <c r="B5" t="s">
        <v>3</v>
      </c>
    </row>
    <row r="6" spans="1:3" x14ac:dyDescent="0.15">
      <c r="A6" s="9">
        <v>8000</v>
      </c>
      <c r="B6" t="s">
        <v>4</v>
      </c>
    </row>
    <row r="9" spans="1:3" ht="14" x14ac:dyDescent="0.15">
      <c r="A9" s="8" t="s">
        <v>5</v>
      </c>
    </row>
    <row r="10" spans="1:3" ht="19.5" customHeight="1" x14ac:dyDescent="0.15">
      <c r="A10" s="10" t="s">
        <v>6</v>
      </c>
      <c r="B10" s="10" t="s">
        <v>7</v>
      </c>
      <c r="C10" s="10" t="s">
        <v>8</v>
      </c>
    </row>
    <row r="11" spans="1:3" x14ac:dyDescent="0.15">
      <c r="A11" s="11" t="s">
        <v>9</v>
      </c>
      <c r="B11" s="11" t="s">
        <v>10</v>
      </c>
      <c r="C11" s="11" t="s">
        <v>11</v>
      </c>
    </row>
    <row r="12" spans="1:3" x14ac:dyDescent="0.15">
      <c r="A12" s="11" t="s">
        <v>12</v>
      </c>
      <c r="B12" s="11" t="s">
        <v>13</v>
      </c>
      <c r="C12" s="11" t="s">
        <v>14</v>
      </c>
    </row>
    <row r="13" spans="1:3" x14ac:dyDescent="0.15">
      <c r="A13" s="11" t="s">
        <v>15</v>
      </c>
      <c r="B13" s="11" t="s">
        <v>16</v>
      </c>
      <c r="C13" s="11" t="s">
        <v>17</v>
      </c>
    </row>
    <row r="14" spans="1:3" x14ac:dyDescent="0.15">
      <c r="A14" s="11" t="s">
        <v>18</v>
      </c>
      <c r="B14" s="11" t="s">
        <v>19</v>
      </c>
      <c r="C14" s="11" t="s">
        <v>20</v>
      </c>
    </row>
    <row r="15" spans="1:3" x14ac:dyDescent="0.15">
      <c r="A15" s="11" t="s">
        <v>21</v>
      </c>
      <c r="B15" s="11" t="s">
        <v>22</v>
      </c>
      <c r="C15" s="11" t="s">
        <v>23</v>
      </c>
    </row>
    <row r="17" spans="1:3" ht="14" x14ac:dyDescent="0.15">
      <c r="A17" s="8" t="s">
        <v>24</v>
      </c>
    </row>
    <row r="18" spans="1:3" ht="15" customHeight="1" x14ac:dyDescent="0.15">
      <c r="A18" s="3" t="s">
        <v>25</v>
      </c>
      <c r="B18" s="3"/>
      <c r="C18" s="3"/>
    </row>
    <row r="19" spans="1:3" ht="15" customHeight="1" x14ac:dyDescent="0.15">
      <c r="A19" s="3" t="s">
        <v>26</v>
      </c>
      <c r="B19" s="3"/>
      <c r="C19" s="3"/>
    </row>
    <row r="20" spans="1:3" ht="15" customHeight="1" x14ac:dyDescent="0.15">
      <c r="A20" s="3" t="s">
        <v>27</v>
      </c>
      <c r="B20" s="3"/>
      <c r="C20" s="3"/>
    </row>
    <row r="21" spans="1:3" ht="15" customHeight="1" x14ac:dyDescent="0.15">
      <c r="A21" s="3" t="s">
        <v>28</v>
      </c>
      <c r="B21" s="3"/>
      <c r="C21" s="3"/>
    </row>
    <row r="22" spans="1:3" ht="15" customHeight="1" x14ac:dyDescent="0.15">
      <c r="A22" s="3" t="s">
        <v>29</v>
      </c>
      <c r="B22" s="3"/>
      <c r="C22" s="3"/>
    </row>
    <row r="23" spans="1:3" ht="15" customHeight="1" x14ac:dyDescent="0.15">
      <c r="A23" s="3" t="s">
        <v>30</v>
      </c>
      <c r="B23" s="3"/>
      <c r="C23" s="3"/>
    </row>
  </sheetData>
  <mergeCells count="8">
    <mergeCell ref="A21:C21"/>
    <mergeCell ref="A22:C22"/>
    <mergeCell ref="A23:C23"/>
    <mergeCell ref="A1:C1"/>
    <mergeCell ref="A2:C2"/>
    <mergeCell ref="A18:C18"/>
    <mergeCell ref="A19:C19"/>
    <mergeCell ref="A20:C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0"/>
  <sheetViews>
    <sheetView showGridLines="0" zoomScaleNormal="100" workbookViewId="0">
      <selection sqref="A1:N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33</v>
      </c>
      <c r="G4" s="8" t="s">
        <v>34</v>
      </c>
    </row>
    <row r="5" spans="1:14" ht="15" customHeight="1" x14ac:dyDescent="0.15">
      <c r="A5" t="s">
        <v>35</v>
      </c>
      <c r="B5" s="9">
        <v>8000</v>
      </c>
      <c r="G5" s="3" t="s">
        <v>36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37</v>
      </c>
      <c r="B6" s="12">
        <v>7.4999999999999997E-2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38</v>
      </c>
      <c r="B7" s="12">
        <v>0.06</v>
      </c>
      <c r="G7" s="3" t="s">
        <v>39</v>
      </c>
      <c r="H7" s="3"/>
      <c r="I7" s="3"/>
      <c r="J7" s="3"/>
      <c r="K7" s="3"/>
      <c r="L7" s="3"/>
      <c r="M7" s="3"/>
      <c r="N7" s="3"/>
    </row>
    <row r="8" spans="1:14" x14ac:dyDescent="0.15">
      <c r="G8" s="3"/>
      <c r="H8" s="3"/>
      <c r="I8" s="3"/>
      <c r="J8" s="3"/>
      <c r="K8" s="3"/>
      <c r="L8" s="3"/>
      <c r="M8" s="3"/>
      <c r="N8" s="3"/>
    </row>
    <row r="9" spans="1:14" ht="15" customHeight="1" x14ac:dyDescent="0.15">
      <c r="A9" s="8" t="s">
        <v>40</v>
      </c>
      <c r="G9" s="3" t="s">
        <v>41</v>
      </c>
      <c r="H9" s="3"/>
      <c r="I9" s="3"/>
      <c r="J9" s="3"/>
      <c r="K9" s="3"/>
      <c r="L9" s="3"/>
      <c r="M9" s="3"/>
      <c r="N9" s="3"/>
    </row>
    <row r="10" spans="1:14" ht="31.5" customHeight="1" x14ac:dyDescent="0.15">
      <c r="A10" s="10" t="s">
        <v>42</v>
      </c>
      <c r="B10" s="10" t="s">
        <v>43</v>
      </c>
      <c r="C10" s="10" t="s">
        <v>44</v>
      </c>
      <c r="D10" s="10" t="s">
        <v>45</v>
      </c>
      <c r="G10" s="2" t="s">
        <v>46</v>
      </c>
      <c r="H10" s="2"/>
      <c r="I10" s="2"/>
      <c r="J10" s="2"/>
      <c r="K10" s="2"/>
      <c r="L10" s="2"/>
      <c r="M10" s="2"/>
      <c r="N10" s="2"/>
    </row>
    <row r="11" spans="1:14" x14ac:dyDescent="0.15">
      <c r="A11" s="13">
        <v>0</v>
      </c>
      <c r="B11" s="14">
        <f>$B$5</f>
        <v>8000</v>
      </c>
      <c r="C11" s="14">
        <f>$B$5</f>
        <v>8000</v>
      </c>
      <c r="D11" s="14">
        <f>C11-B11</f>
        <v>0</v>
      </c>
    </row>
    <row r="12" spans="1:14" ht="14" x14ac:dyDescent="0.15">
      <c r="A12" s="13">
        <v>1</v>
      </c>
      <c r="B12" s="15"/>
      <c r="C12" s="15"/>
      <c r="D12" s="15"/>
      <c r="G12" s="8" t="s">
        <v>47</v>
      </c>
    </row>
    <row r="13" spans="1:14" ht="15" customHeight="1" x14ac:dyDescent="0.15">
      <c r="A13" s="13">
        <v>2</v>
      </c>
      <c r="B13" s="15"/>
      <c r="C13" s="15"/>
      <c r="D13" s="15"/>
      <c r="G13" s="2" t="s">
        <v>48</v>
      </c>
      <c r="H13" s="2"/>
      <c r="I13" s="2"/>
      <c r="J13" s="2"/>
      <c r="K13" s="2"/>
      <c r="L13" s="2"/>
      <c r="M13" s="2"/>
      <c r="N13" s="2"/>
    </row>
    <row r="14" spans="1:14" x14ac:dyDescent="0.15">
      <c r="A14" s="13">
        <v>3</v>
      </c>
      <c r="B14" s="15"/>
      <c r="C14" s="15"/>
      <c r="D14" s="15"/>
      <c r="G14" s="1"/>
      <c r="H14" s="1"/>
      <c r="I14" s="1"/>
      <c r="J14" s="1"/>
      <c r="K14" s="1"/>
      <c r="L14" s="1"/>
      <c r="M14" s="1"/>
      <c r="N14" s="1"/>
    </row>
    <row r="15" spans="1:14" x14ac:dyDescent="0.15">
      <c r="A15" s="13">
        <v>4</v>
      </c>
      <c r="B15" s="15"/>
      <c r="C15" s="15"/>
      <c r="D15" s="15"/>
      <c r="G15" s="1"/>
      <c r="H15" s="1"/>
      <c r="I15" s="1"/>
      <c r="J15" s="1"/>
      <c r="K15" s="1"/>
      <c r="L15" s="1"/>
      <c r="M15" s="1"/>
      <c r="N15" s="1"/>
    </row>
    <row r="16" spans="1:14" x14ac:dyDescent="0.15">
      <c r="A16" s="13">
        <v>5</v>
      </c>
      <c r="B16" s="15"/>
      <c r="C16" s="15"/>
      <c r="D16" s="15"/>
      <c r="G16" s="1"/>
      <c r="H16" s="1"/>
      <c r="I16" s="1"/>
      <c r="J16" s="1"/>
      <c r="K16" s="1"/>
      <c r="L16" s="1"/>
      <c r="M16" s="1"/>
      <c r="N16" s="1"/>
    </row>
    <row r="17" spans="1:14" x14ac:dyDescent="0.15">
      <c r="A17" s="13">
        <v>6</v>
      </c>
      <c r="B17" s="15"/>
      <c r="C17" s="15"/>
      <c r="D17" s="15"/>
    </row>
    <row r="18" spans="1:14" ht="15" customHeight="1" x14ac:dyDescent="0.15">
      <c r="A18" s="13">
        <v>7</v>
      </c>
      <c r="B18" s="15"/>
      <c r="C18" s="15"/>
      <c r="D18" s="15"/>
      <c r="G18" s="2" t="s">
        <v>49</v>
      </c>
      <c r="H18" s="2"/>
      <c r="I18" s="2"/>
      <c r="J18" s="2"/>
      <c r="K18" s="2"/>
      <c r="L18" s="2"/>
      <c r="M18" s="2"/>
      <c r="N18" s="2"/>
    </row>
    <row r="19" spans="1:14" x14ac:dyDescent="0.15">
      <c r="A19" s="13">
        <v>8</v>
      </c>
      <c r="B19" s="15"/>
      <c r="C19" s="15"/>
      <c r="D19" s="15"/>
      <c r="G19" s="1"/>
      <c r="H19" s="1"/>
      <c r="I19" s="1"/>
      <c r="J19" s="1"/>
      <c r="K19" s="1"/>
      <c r="L19" s="1"/>
      <c r="M19" s="1"/>
      <c r="N19" s="1"/>
    </row>
    <row r="20" spans="1:14" x14ac:dyDescent="0.15">
      <c r="A20" s="13">
        <v>9</v>
      </c>
      <c r="B20" s="15"/>
      <c r="C20" s="15"/>
      <c r="D20" s="15"/>
      <c r="G20" s="1"/>
      <c r="H20" s="1"/>
      <c r="I20" s="1"/>
      <c r="J20" s="1"/>
      <c r="K20" s="1"/>
      <c r="L20" s="1"/>
      <c r="M20" s="1"/>
      <c r="N20" s="1"/>
    </row>
    <row r="21" spans="1:14" x14ac:dyDescent="0.15">
      <c r="A21" s="13">
        <v>10</v>
      </c>
      <c r="B21" s="15"/>
      <c r="C21" s="15"/>
      <c r="D21" s="15"/>
      <c r="G21" s="1"/>
      <c r="H21" s="1"/>
      <c r="I21" s="1"/>
      <c r="J21" s="1"/>
      <c r="K21" s="1"/>
      <c r="L21" s="1"/>
      <c r="M21" s="1"/>
      <c r="N21" s="1"/>
    </row>
    <row r="22" spans="1:14" x14ac:dyDescent="0.15">
      <c r="A22" s="13">
        <v>11</v>
      </c>
      <c r="B22" s="15"/>
      <c r="C22" s="15"/>
      <c r="D22" s="15"/>
    </row>
    <row r="23" spans="1:14" ht="15" customHeight="1" x14ac:dyDescent="0.15">
      <c r="A23" s="13">
        <v>12</v>
      </c>
      <c r="B23" s="15"/>
      <c r="C23" s="15"/>
      <c r="D23" s="15"/>
      <c r="G23" s="2" t="s">
        <v>50</v>
      </c>
      <c r="H23" s="2"/>
      <c r="I23" s="2"/>
      <c r="J23" s="2"/>
      <c r="K23" s="2"/>
      <c r="L23" s="2"/>
      <c r="M23" s="2"/>
      <c r="N23" s="2"/>
    </row>
    <row r="24" spans="1:14" x14ac:dyDescent="0.15">
      <c r="A24" s="13">
        <v>13</v>
      </c>
      <c r="B24" s="15"/>
      <c r="C24" s="15"/>
      <c r="D24" s="15"/>
      <c r="G24" s="2"/>
      <c r="H24" s="2"/>
      <c r="I24" s="2"/>
      <c r="J24" s="2"/>
      <c r="K24" s="2"/>
      <c r="L24" s="2"/>
      <c r="M24" s="2"/>
      <c r="N24" s="2"/>
    </row>
    <row r="25" spans="1:14" x14ac:dyDescent="0.15">
      <c r="A25" s="13">
        <v>14</v>
      </c>
      <c r="B25" s="15"/>
      <c r="C25" s="15"/>
      <c r="D25" s="15"/>
      <c r="G25" s="1"/>
      <c r="H25" s="1"/>
      <c r="I25" s="1"/>
      <c r="J25" s="1"/>
      <c r="K25" s="1"/>
      <c r="L25" s="1"/>
      <c r="M25" s="1"/>
      <c r="N25" s="1"/>
    </row>
    <row r="26" spans="1:14" x14ac:dyDescent="0.15">
      <c r="A26" s="13">
        <v>15</v>
      </c>
      <c r="B26" s="15"/>
      <c r="C26" s="15"/>
      <c r="D26" s="15"/>
      <c r="G26" s="1"/>
      <c r="H26" s="1"/>
      <c r="I26" s="1"/>
      <c r="J26" s="1"/>
      <c r="K26" s="1"/>
      <c r="L26" s="1"/>
      <c r="M26" s="1"/>
      <c r="N26" s="1"/>
    </row>
    <row r="27" spans="1:14" x14ac:dyDescent="0.15">
      <c r="A27" s="13">
        <v>16</v>
      </c>
      <c r="B27" s="15"/>
      <c r="C27" s="15"/>
      <c r="D27" s="15"/>
      <c r="G27" s="1"/>
      <c r="H27" s="1"/>
      <c r="I27" s="1"/>
      <c r="J27" s="1"/>
      <c r="K27" s="1"/>
      <c r="L27" s="1"/>
      <c r="M27" s="1"/>
      <c r="N27" s="1"/>
    </row>
    <row r="28" spans="1:14" x14ac:dyDescent="0.15">
      <c r="A28" s="13">
        <v>17</v>
      </c>
      <c r="B28" s="15"/>
      <c r="C28" s="15"/>
      <c r="D28" s="15"/>
    </row>
    <row r="29" spans="1:14" ht="15" customHeight="1" x14ac:dyDescent="0.15">
      <c r="A29" s="13">
        <v>18</v>
      </c>
      <c r="B29" s="15"/>
      <c r="C29" s="15"/>
      <c r="D29" s="15"/>
      <c r="G29" s="2" t="s">
        <v>51</v>
      </c>
      <c r="H29" s="2"/>
      <c r="I29" s="2"/>
      <c r="J29" s="2"/>
      <c r="K29" s="2"/>
      <c r="L29" s="2"/>
      <c r="M29" s="2"/>
      <c r="N29" s="2"/>
    </row>
    <row r="30" spans="1:14" x14ac:dyDescent="0.15">
      <c r="A30" s="13">
        <v>19</v>
      </c>
      <c r="B30" s="15"/>
      <c r="C30" s="15"/>
      <c r="D30" s="15"/>
      <c r="G30" s="2"/>
      <c r="H30" s="2"/>
      <c r="I30" s="2"/>
      <c r="J30" s="2"/>
      <c r="K30" s="2"/>
      <c r="L30" s="2"/>
      <c r="M30" s="2"/>
      <c r="N30" s="2"/>
    </row>
    <row r="31" spans="1:14" x14ac:dyDescent="0.15">
      <c r="A31" s="13">
        <v>20</v>
      </c>
      <c r="B31" s="15"/>
      <c r="C31" s="15"/>
      <c r="D31" s="15"/>
      <c r="G31" s="1"/>
      <c r="H31" s="1"/>
      <c r="I31" s="1"/>
      <c r="J31" s="1"/>
      <c r="K31" s="1"/>
      <c r="L31" s="1"/>
      <c r="M31" s="1"/>
      <c r="N31" s="1"/>
    </row>
    <row r="32" spans="1:14" x14ac:dyDescent="0.15">
      <c r="G32" s="1"/>
      <c r="H32" s="1"/>
      <c r="I32" s="1"/>
      <c r="J32" s="1"/>
      <c r="K32" s="1"/>
      <c r="L32" s="1"/>
      <c r="M32" s="1"/>
      <c r="N32" s="1"/>
    </row>
    <row r="33" spans="7:14" x14ac:dyDescent="0.15">
      <c r="G33" s="1"/>
      <c r="H33" s="1"/>
      <c r="I33" s="1"/>
      <c r="J33" s="1"/>
      <c r="K33" s="1"/>
      <c r="L33" s="1"/>
      <c r="M33" s="1"/>
      <c r="N33" s="1"/>
    </row>
    <row r="35" spans="7:14" ht="15" customHeight="1" x14ac:dyDescent="0.15">
      <c r="G35" s="2" t="s">
        <v>52</v>
      </c>
      <c r="H35" s="2"/>
      <c r="I35" s="2"/>
      <c r="J35" s="2"/>
      <c r="K35" s="2"/>
      <c r="L35" s="2"/>
      <c r="M35" s="2"/>
      <c r="N35" s="2"/>
    </row>
    <row r="36" spans="7:14" x14ac:dyDescent="0.15">
      <c r="G36" s="2"/>
      <c r="H36" s="2"/>
      <c r="I36" s="2"/>
      <c r="J36" s="2"/>
      <c r="K36" s="2"/>
      <c r="L36" s="2"/>
      <c r="M36" s="2"/>
      <c r="N36" s="2"/>
    </row>
    <row r="37" spans="7:14" x14ac:dyDescent="0.15">
      <c r="G37" s="2"/>
      <c r="H37" s="2"/>
      <c r="I37" s="2"/>
      <c r="J37" s="2"/>
      <c r="K37" s="2"/>
      <c r="L37" s="2"/>
      <c r="M37" s="2"/>
      <c r="N37" s="2"/>
    </row>
    <row r="38" spans="7:14" x14ac:dyDescent="0.15">
      <c r="G38" s="1"/>
      <c r="H38" s="1"/>
      <c r="I38" s="1"/>
      <c r="J38" s="1"/>
      <c r="K38" s="1"/>
      <c r="L38" s="1"/>
      <c r="M38" s="1"/>
      <c r="N38" s="1"/>
    </row>
    <row r="39" spans="7:14" x14ac:dyDescent="0.15">
      <c r="G39" s="1"/>
      <c r="H39" s="1"/>
      <c r="I39" s="1"/>
      <c r="J39" s="1"/>
      <c r="K39" s="1"/>
      <c r="L39" s="1"/>
      <c r="M39" s="1"/>
      <c r="N39" s="1"/>
    </row>
    <row r="40" spans="7:14" x14ac:dyDescent="0.15">
      <c r="G40" s="1"/>
      <c r="H40" s="1"/>
      <c r="I40" s="1"/>
      <c r="J40" s="1"/>
      <c r="K40" s="1"/>
      <c r="L40" s="1"/>
      <c r="M40" s="1"/>
      <c r="N40" s="1"/>
    </row>
  </sheetData>
  <mergeCells count="16">
    <mergeCell ref="G38:N40"/>
    <mergeCell ref="G23:N24"/>
    <mergeCell ref="G25:N27"/>
    <mergeCell ref="G29:N30"/>
    <mergeCell ref="G31:N33"/>
    <mergeCell ref="G35:N37"/>
    <mergeCell ref="G10:N10"/>
    <mergeCell ref="G13:N13"/>
    <mergeCell ref="G14:N16"/>
    <mergeCell ref="G18:N18"/>
    <mergeCell ref="G19:N21"/>
    <mergeCell ref="A1:N1"/>
    <mergeCell ref="A2:N2"/>
    <mergeCell ref="G5:N6"/>
    <mergeCell ref="G7:N8"/>
    <mergeCell ref="G9:N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9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55</v>
      </c>
      <c r="G4" s="8" t="s">
        <v>34</v>
      </c>
    </row>
    <row r="5" spans="1:14" ht="15" customHeight="1" x14ac:dyDescent="0.15">
      <c r="A5" t="s">
        <v>35</v>
      </c>
      <c r="B5" s="9">
        <v>50000</v>
      </c>
      <c r="G5" s="3" t="s">
        <v>56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57</v>
      </c>
      <c r="B6" s="16">
        <v>12</v>
      </c>
      <c r="G6" s="3"/>
      <c r="H6" s="3"/>
      <c r="I6" s="3"/>
      <c r="J6" s="3"/>
      <c r="K6" s="3"/>
      <c r="L6" s="3"/>
      <c r="M6" s="3"/>
      <c r="N6" s="3"/>
    </row>
    <row r="7" spans="1:14" x14ac:dyDescent="0.15">
      <c r="G7" s="3"/>
      <c r="H7" s="3"/>
      <c r="I7" s="3"/>
      <c r="J7" s="3"/>
      <c r="K7" s="3"/>
      <c r="L7" s="3"/>
      <c r="M7" s="3"/>
      <c r="N7" s="3"/>
    </row>
    <row r="8" spans="1:14" ht="15" customHeight="1" x14ac:dyDescent="0.15">
      <c r="A8" s="6" t="s">
        <v>58</v>
      </c>
      <c r="B8" s="12">
        <v>0.04</v>
      </c>
      <c r="C8" s="12">
        <v>0.06</v>
      </c>
      <c r="D8" s="12">
        <v>0.08</v>
      </c>
      <c r="E8" s="12">
        <v>0.1</v>
      </c>
      <c r="G8" s="3" t="s">
        <v>59</v>
      </c>
      <c r="H8" s="3"/>
      <c r="I8" s="3"/>
      <c r="J8" s="3"/>
      <c r="K8" s="3"/>
      <c r="L8" s="3"/>
      <c r="M8" s="3"/>
      <c r="N8" s="3"/>
    </row>
    <row r="9" spans="1:14" ht="19.5" customHeight="1" x14ac:dyDescent="0.15">
      <c r="A9" s="10" t="s">
        <v>42</v>
      </c>
      <c r="B9" s="10" t="str">
        <f>TEXT(B8,"0%")&amp;" p.a. ($)"</f>
        <v>4% p.a. ($)</v>
      </c>
      <c r="C9" s="10" t="str">
        <f>TEXT(C8,"0%")&amp;" p.a. ($)"</f>
        <v>6% p.a. ($)</v>
      </c>
      <c r="D9" s="10" t="str">
        <f>TEXT(D8,"0%")&amp;" p.a. ($)"</f>
        <v>8% p.a. ($)</v>
      </c>
      <c r="E9" s="10" t="str">
        <f>TEXT(E8,"0%")&amp;" p.a. ($)"</f>
        <v>10% p.a. ($)</v>
      </c>
      <c r="G9" s="3"/>
      <c r="H9" s="3"/>
      <c r="I9" s="3"/>
      <c r="J9" s="3"/>
      <c r="K9" s="3"/>
      <c r="L9" s="3"/>
      <c r="M9" s="3"/>
      <c r="N9" s="3"/>
    </row>
    <row r="10" spans="1:14" ht="15" customHeight="1" x14ac:dyDescent="0.15">
      <c r="A10" s="13">
        <v>0</v>
      </c>
      <c r="B10" s="14">
        <f>$B$5</f>
        <v>50000</v>
      </c>
      <c r="C10" s="14">
        <f>$B$5</f>
        <v>50000</v>
      </c>
      <c r="D10" s="14">
        <f>$B$5</f>
        <v>50000</v>
      </c>
      <c r="E10" s="14">
        <f>$B$5</f>
        <v>50000</v>
      </c>
      <c r="G10" s="3" t="s">
        <v>60</v>
      </c>
      <c r="H10" s="3"/>
      <c r="I10" s="3"/>
      <c r="J10" s="3"/>
      <c r="K10" s="3"/>
      <c r="L10" s="3"/>
      <c r="M10" s="3"/>
      <c r="N10" s="3"/>
    </row>
    <row r="11" spans="1:14" x14ac:dyDescent="0.15">
      <c r="A11" s="13">
        <v>1</v>
      </c>
      <c r="B11" s="15"/>
      <c r="C11" s="15"/>
      <c r="D11" s="15"/>
      <c r="E11" s="15"/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15">
      <c r="A12" s="13">
        <v>2</v>
      </c>
      <c r="B12" s="15"/>
      <c r="C12" s="15"/>
      <c r="D12" s="15"/>
      <c r="E12" s="15"/>
      <c r="G12" s="2" t="s">
        <v>61</v>
      </c>
      <c r="H12" s="2"/>
      <c r="I12" s="2"/>
      <c r="J12" s="2"/>
      <c r="K12" s="2"/>
      <c r="L12" s="2"/>
      <c r="M12" s="2"/>
      <c r="N12" s="2"/>
    </row>
    <row r="13" spans="1:14" x14ac:dyDescent="0.15">
      <c r="A13" s="13">
        <v>3</v>
      </c>
      <c r="B13" s="15"/>
      <c r="C13" s="15"/>
      <c r="D13" s="15"/>
      <c r="E13" s="15"/>
      <c r="G13" s="2"/>
      <c r="H13" s="2"/>
      <c r="I13" s="2"/>
      <c r="J13" s="2"/>
      <c r="K13" s="2"/>
      <c r="L13" s="2"/>
      <c r="M13" s="2"/>
      <c r="N13" s="2"/>
    </row>
    <row r="14" spans="1:14" x14ac:dyDescent="0.15">
      <c r="A14" s="13">
        <v>4</v>
      </c>
      <c r="B14" s="15"/>
      <c r="C14" s="15"/>
      <c r="D14" s="15"/>
      <c r="E14" s="15"/>
    </row>
    <row r="15" spans="1:14" ht="14" x14ac:dyDescent="0.15">
      <c r="A15" s="13">
        <v>5</v>
      </c>
      <c r="B15" s="15"/>
      <c r="C15" s="15"/>
      <c r="D15" s="15"/>
      <c r="E15" s="15"/>
      <c r="G15" s="8" t="s">
        <v>47</v>
      </c>
    </row>
    <row r="16" spans="1:14" ht="15" customHeight="1" x14ac:dyDescent="0.15">
      <c r="A16" s="13">
        <v>6</v>
      </c>
      <c r="B16" s="15"/>
      <c r="C16" s="15"/>
      <c r="D16" s="15"/>
      <c r="E16" s="15"/>
      <c r="G16" s="2" t="s">
        <v>62</v>
      </c>
      <c r="H16" s="2"/>
      <c r="I16" s="2"/>
      <c r="J16" s="2"/>
      <c r="K16" s="2"/>
      <c r="L16" s="2"/>
      <c r="M16" s="2"/>
      <c r="N16" s="2"/>
    </row>
    <row r="17" spans="1:14" x14ac:dyDescent="0.15">
      <c r="A17" s="13">
        <v>7</v>
      </c>
      <c r="B17" s="15"/>
      <c r="C17" s="15"/>
      <c r="D17" s="15"/>
      <c r="E17" s="15"/>
      <c r="G17" s="1"/>
      <c r="H17" s="1"/>
      <c r="I17" s="1"/>
      <c r="J17" s="1"/>
      <c r="K17" s="1"/>
      <c r="L17" s="1"/>
      <c r="M17" s="1"/>
      <c r="N17" s="1"/>
    </row>
    <row r="18" spans="1:14" x14ac:dyDescent="0.15">
      <c r="A18" s="13">
        <v>8</v>
      </c>
      <c r="B18" s="15"/>
      <c r="C18" s="15"/>
      <c r="D18" s="15"/>
      <c r="E18" s="15"/>
      <c r="G18" s="1"/>
      <c r="H18" s="1"/>
      <c r="I18" s="1"/>
      <c r="J18" s="1"/>
      <c r="K18" s="1"/>
      <c r="L18" s="1"/>
      <c r="M18" s="1"/>
      <c r="N18" s="1"/>
    </row>
    <row r="19" spans="1:14" x14ac:dyDescent="0.15">
      <c r="A19" s="13">
        <v>9</v>
      </c>
      <c r="B19" s="15"/>
      <c r="C19" s="15"/>
      <c r="D19" s="15"/>
      <c r="E19" s="15"/>
      <c r="G19" s="1"/>
      <c r="H19" s="1"/>
      <c r="I19" s="1"/>
      <c r="J19" s="1"/>
      <c r="K19" s="1"/>
      <c r="L19" s="1"/>
      <c r="M19" s="1"/>
      <c r="N19" s="1"/>
    </row>
    <row r="20" spans="1:14" x14ac:dyDescent="0.15">
      <c r="A20" s="13">
        <v>10</v>
      </c>
      <c r="B20" s="15"/>
      <c r="C20" s="15"/>
      <c r="D20" s="15"/>
      <c r="E20" s="15"/>
    </row>
    <row r="21" spans="1:14" ht="15" customHeight="1" x14ac:dyDescent="0.15">
      <c r="A21" s="13">
        <v>11</v>
      </c>
      <c r="B21" s="15"/>
      <c r="C21" s="15"/>
      <c r="D21" s="15"/>
      <c r="E21" s="15"/>
      <c r="G21" s="2" t="s">
        <v>63</v>
      </c>
      <c r="H21" s="2"/>
      <c r="I21" s="2"/>
      <c r="J21" s="2"/>
      <c r="K21" s="2"/>
      <c r="L21" s="2"/>
      <c r="M21" s="2"/>
      <c r="N21" s="2"/>
    </row>
    <row r="22" spans="1:14" x14ac:dyDescent="0.15">
      <c r="A22" s="13">
        <v>12</v>
      </c>
      <c r="B22" s="15"/>
      <c r="C22" s="15"/>
      <c r="D22" s="15"/>
      <c r="E22" s="15"/>
      <c r="G22" s="2"/>
      <c r="H22" s="2"/>
      <c r="I22" s="2"/>
      <c r="J22" s="2"/>
      <c r="K22" s="2"/>
      <c r="L22" s="2"/>
      <c r="M22" s="2"/>
      <c r="N22" s="2"/>
    </row>
    <row r="23" spans="1:14" x14ac:dyDescent="0.15">
      <c r="A23" s="13">
        <v>13</v>
      </c>
      <c r="B23" s="15"/>
      <c r="C23" s="15"/>
      <c r="D23" s="15"/>
      <c r="E23" s="15"/>
      <c r="G23" s="1"/>
      <c r="H23" s="1"/>
      <c r="I23" s="1"/>
      <c r="J23" s="1"/>
      <c r="K23" s="1"/>
      <c r="L23" s="1"/>
      <c r="M23" s="1"/>
      <c r="N23" s="1"/>
    </row>
    <row r="24" spans="1:14" x14ac:dyDescent="0.15">
      <c r="A24" s="13">
        <v>14</v>
      </c>
      <c r="B24" s="15"/>
      <c r="C24" s="15"/>
      <c r="D24" s="15"/>
      <c r="E24" s="15"/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13">
        <v>15</v>
      </c>
      <c r="B25" s="15"/>
      <c r="C25" s="15"/>
      <c r="D25" s="15"/>
      <c r="E25" s="15"/>
      <c r="G25" s="1"/>
      <c r="H25" s="1"/>
      <c r="I25" s="1"/>
      <c r="J25" s="1"/>
      <c r="K25" s="1"/>
      <c r="L25" s="1"/>
      <c r="M25" s="1"/>
      <c r="N25" s="1"/>
    </row>
    <row r="26" spans="1:14" x14ac:dyDescent="0.15">
      <c r="A26" s="13">
        <v>16</v>
      </c>
      <c r="B26" s="15"/>
      <c r="C26" s="15"/>
      <c r="D26" s="15"/>
      <c r="E26" s="15"/>
    </row>
    <row r="27" spans="1:14" ht="15" customHeight="1" x14ac:dyDescent="0.15">
      <c r="A27" s="13">
        <v>17</v>
      </c>
      <c r="B27" s="15"/>
      <c r="C27" s="15"/>
      <c r="D27" s="15"/>
      <c r="E27" s="15"/>
      <c r="G27" s="2" t="s">
        <v>64</v>
      </c>
      <c r="H27" s="2"/>
      <c r="I27" s="2"/>
      <c r="J27" s="2"/>
      <c r="K27" s="2"/>
      <c r="L27" s="2"/>
      <c r="M27" s="2"/>
      <c r="N27" s="2"/>
    </row>
    <row r="28" spans="1:14" x14ac:dyDescent="0.15">
      <c r="A28" s="13">
        <v>18</v>
      </c>
      <c r="B28" s="15"/>
      <c r="C28" s="15"/>
      <c r="D28" s="15"/>
      <c r="E28" s="15"/>
      <c r="G28" s="1"/>
      <c r="H28" s="1"/>
      <c r="I28" s="1"/>
      <c r="J28" s="1"/>
      <c r="K28" s="1"/>
      <c r="L28" s="1"/>
      <c r="M28" s="1"/>
      <c r="N28" s="1"/>
    </row>
    <row r="29" spans="1:14" x14ac:dyDescent="0.15">
      <c r="A29" s="13">
        <v>19</v>
      </c>
      <c r="B29" s="15"/>
      <c r="C29" s="15"/>
      <c r="D29" s="15"/>
      <c r="E29" s="15"/>
      <c r="G29" s="1"/>
      <c r="H29" s="1"/>
      <c r="I29" s="1"/>
      <c r="J29" s="1"/>
      <c r="K29" s="1"/>
      <c r="L29" s="1"/>
      <c r="M29" s="1"/>
      <c r="N29" s="1"/>
    </row>
    <row r="30" spans="1:14" x14ac:dyDescent="0.15">
      <c r="A30" s="13">
        <v>20</v>
      </c>
      <c r="B30" s="15"/>
      <c r="C30" s="15"/>
      <c r="D30" s="15"/>
      <c r="E30" s="15"/>
      <c r="G30" s="1"/>
      <c r="H30" s="1"/>
      <c r="I30" s="1"/>
      <c r="J30" s="1"/>
      <c r="K30" s="1"/>
      <c r="L30" s="1"/>
      <c r="M30" s="1"/>
      <c r="N30" s="1"/>
    </row>
    <row r="32" spans="1:14" ht="15" customHeight="1" x14ac:dyDescent="0.15">
      <c r="A32" s="8" t="s">
        <v>65</v>
      </c>
      <c r="G32" s="2" t="s">
        <v>66</v>
      </c>
      <c r="H32" s="2"/>
      <c r="I32" s="2"/>
      <c r="J32" s="2"/>
      <c r="K32" s="2"/>
      <c r="L32" s="2"/>
      <c r="M32" s="2"/>
      <c r="N32" s="2"/>
    </row>
    <row r="33" spans="1:14" x14ac:dyDescent="0.15">
      <c r="A33" t="s">
        <v>58</v>
      </c>
      <c r="B33" s="12">
        <v>0.06</v>
      </c>
      <c r="G33" s="2"/>
      <c r="H33" s="2"/>
      <c r="I33" s="2"/>
      <c r="J33" s="2"/>
      <c r="K33" s="2"/>
      <c r="L33" s="2"/>
      <c r="M33" s="2"/>
      <c r="N33" s="2"/>
    </row>
    <row r="34" spans="1:14" x14ac:dyDescent="0.15">
      <c r="G34" s="1"/>
      <c r="H34" s="1"/>
      <c r="I34" s="1"/>
      <c r="J34" s="1"/>
      <c r="K34" s="1"/>
      <c r="L34" s="1"/>
      <c r="M34" s="1"/>
      <c r="N34" s="1"/>
    </row>
    <row r="35" spans="1:14" x14ac:dyDescent="0.15">
      <c r="A35" s="6" t="s">
        <v>67</v>
      </c>
      <c r="B35" s="17" t="s">
        <v>68</v>
      </c>
      <c r="C35" s="17" t="s">
        <v>69</v>
      </c>
      <c r="D35" s="17" t="s">
        <v>70</v>
      </c>
      <c r="E35" s="17" t="s">
        <v>71</v>
      </c>
      <c r="G35" s="1"/>
      <c r="H35" s="1"/>
      <c r="I35" s="1"/>
      <c r="J35" s="1"/>
      <c r="K35" s="1"/>
      <c r="L35" s="1"/>
      <c r="M35" s="1"/>
      <c r="N35" s="1"/>
    </row>
    <row r="36" spans="1:14" x14ac:dyDescent="0.15">
      <c r="A36" s="6" t="s">
        <v>72</v>
      </c>
      <c r="B36" s="16">
        <v>1</v>
      </c>
      <c r="C36" s="16">
        <v>4</v>
      </c>
      <c r="D36" s="16">
        <v>12</v>
      </c>
      <c r="E36" s="16">
        <v>365</v>
      </c>
      <c r="G36" s="1"/>
      <c r="H36" s="1"/>
      <c r="I36" s="1"/>
      <c r="J36" s="1"/>
      <c r="K36" s="1"/>
      <c r="L36" s="1"/>
      <c r="M36" s="1"/>
      <c r="N36" s="1"/>
    </row>
    <row r="37" spans="1:14" ht="19.5" customHeight="1" x14ac:dyDescent="0.15">
      <c r="A37" s="10" t="s">
        <v>42</v>
      </c>
      <c r="B37" s="10" t="s">
        <v>73</v>
      </c>
      <c r="C37" s="10" t="s">
        <v>74</v>
      </c>
      <c r="D37" s="10" t="s">
        <v>75</v>
      </c>
      <c r="E37" s="10" t="s">
        <v>76</v>
      </c>
    </row>
    <row r="38" spans="1:14" ht="15" customHeight="1" x14ac:dyDescent="0.15">
      <c r="A38" s="13">
        <v>0</v>
      </c>
      <c r="B38" s="14">
        <f>$B$5</f>
        <v>50000</v>
      </c>
      <c r="C38" s="14">
        <f>$B$5</f>
        <v>50000</v>
      </c>
      <c r="D38" s="14">
        <f>$B$5</f>
        <v>50000</v>
      </c>
      <c r="E38" s="14">
        <f>$B$5</f>
        <v>50000</v>
      </c>
      <c r="G38" s="2" t="s">
        <v>77</v>
      </c>
      <c r="H38" s="2"/>
      <c r="I38" s="2"/>
      <c r="J38" s="2"/>
      <c r="K38" s="2"/>
      <c r="L38" s="2"/>
      <c r="M38" s="2"/>
      <c r="N38" s="2"/>
    </row>
    <row r="39" spans="1:14" x14ac:dyDescent="0.15">
      <c r="A39" s="13">
        <v>1</v>
      </c>
      <c r="B39" s="15"/>
      <c r="C39" s="15"/>
      <c r="D39" s="15"/>
      <c r="E39" s="15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13">
        <v>2</v>
      </c>
      <c r="B40" s="15"/>
      <c r="C40" s="15"/>
      <c r="D40" s="15"/>
      <c r="E40" s="15"/>
      <c r="G40" s="1"/>
      <c r="H40" s="1"/>
      <c r="I40" s="1"/>
      <c r="J40" s="1"/>
      <c r="K40" s="1"/>
      <c r="L40" s="1"/>
      <c r="M40" s="1"/>
      <c r="N40" s="1"/>
    </row>
    <row r="41" spans="1:14" x14ac:dyDescent="0.15">
      <c r="A41" s="13">
        <v>3</v>
      </c>
      <c r="B41" s="15"/>
      <c r="C41" s="15"/>
      <c r="D41" s="15"/>
      <c r="E41" s="15"/>
      <c r="G41" s="1"/>
      <c r="H41" s="1"/>
      <c r="I41" s="1"/>
      <c r="J41" s="1"/>
      <c r="K41" s="1"/>
      <c r="L41" s="1"/>
      <c r="M41" s="1"/>
      <c r="N41" s="1"/>
    </row>
    <row r="42" spans="1:14" x14ac:dyDescent="0.15">
      <c r="A42" s="13">
        <v>4</v>
      </c>
      <c r="B42" s="15"/>
      <c r="C42" s="15"/>
      <c r="D42" s="15"/>
      <c r="E42" s="15"/>
      <c r="G42" s="1"/>
      <c r="H42" s="1"/>
      <c r="I42" s="1"/>
      <c r="J42" s="1"/>
      <c r="K42" s="1"/>
      <c r="L42" s="1"/>
      <c r="M42" s="1"/>
      <c r="N42" s="1"/>
    </row>
    <row r="43" spans="1:14" x14ac:dyDescent="0.15">
      <c r="A43" s="13">
        <v>5</v>
      </c>
      <c r="B43" s="15"/>
      <c r="C43" s="15"/>
      <c r="D43" s="15"/>
      <c r="E43" s="15"/>
    </row>
    <row r="44" spans="1:14" ht="15" customHeight="1" x14ac:dyDescent="0.15">
      <c r="A44" s="13">
        <v>6</v>
      </c>
      <c r="B44" s="15"/>
      <c r="C44" s="15"/>
      <c r="D44" s="15"/>
      <c r="E44" s="15"/>
      <c r="G44" s="2" t="s">
        <v>78</v>
      </c>
      <c r="H44" s="2"/>
      <c r="I44" s="2"/>
      <c r="J44" s="2"/>
      <c r="K44" s="2"/>
      <c r="L44" s="2"/>
      <c r="M44" s="2"/>
      <c r="N44" s="2"/>
    </row>
    <row r="45" spans="1:14" x14ac:dyDescent="0.15">
      <c r="A45" s="13">
        <v>7</v>
      </c>
      <c r="B45" s="15"/>
      <c r="C45" s="15"/>
      <c r="D45" s="15"/>
      <c r="E45" s="15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13">
        <v>8</v>
      </c>
      <c r="B46" s="15"/>
      <c r="C46" s="15"/>
      <c r="D46" s="15"/>
      <c r="E46" s="15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13">
        <v>9</v>
      </c>
      <c r="B47" s="15"/>
      <c r="C47" s="15"/>
      <c r="D47" s="15"/>
      <c r="E47" s="15"/>
      <c r="G47" s="1"/>
      <c r="H47" s="1"/>
      <c r="I47" s="1"/>
      <c r="J47" s="1"/>
      <c r="K47" s="1"/>
      <c r="L47" s="1"/>
      <c r="M47" s="1"/>
      <c r="N47" s="1"/>
    </row>
    <row r="48" spans="1:14" x14ac:dyDescent="0.15">
      <c r="A48" s="13">
        <v>10</v>
      </c>
      <c r="B48" s="15"/>
      <c r="C48" s="15"/>
      <c r="D48" s="15"/>
      <c r="E48" s="15"/>
      <c r="G48" s="1"/>
      <c r="H48" s="1"/>
      <c r="I48" s="1"/>
      <c r="J48" s="1"/>
      <c r="K48" s="1"/>
      <c r="L48" s="1"/>
      <c r="M48" s="1"/>
      <c r="N48" s="1"/>
    </row>
    <row r="49" spans="7:14" x14ac:dyDescent="0.15">
      <c r="G49" s="1"/>
      <c r="H49" s="1"/>
      <c r="I49" s="1"/>
      <c r="J49" s="1"/>
      <c r="K49" s="1"/>
      <c r="L49" s="1"/>
      <c r="M49" s="1"/>
      <c r="N49" s="1"/>
    </row>
  </sheetData>
  <mergeCells count="18">
    <mergeCell ref="G40:N42"/>
    <mergeCell ref="G44:N46"/>
    <mergeCell ref="G47:N49"/>
    <mergeCell ref="G27:N27"/>
    <mergeCell ref="G28:N30"/>
    <mergeCell ref="G32:N33"/>
    <mergeCell ref="G34:N36"/>
    <mergeCell ref="G38:N39"/>
    <mergeCell ref="G12:N13"/>
    <mergeCell ref="G16:N16"/>
    <mergeCell ref="G17:N19"/>
    <mergeCell ref="G21:N22"/>
    <mergeCell ref="G23:N25"/>
    <mergeCell ref="A1:N1"/>
    <mergeCell ref="A2:N2"/>
    <mergeCell ref="G5:N7"/>
    <mergeCell ref="G8:N9"/>
    <mergeCell ref="G10:N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8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33</v>
      </c>
      <c r="G4" s="8" t="s">
        <v>34</v>
      </c>
    </row>
    <row r="5" spans="1:14" ht="15" customHeight="1" x14ac:dyDescent="0.15">
      <c r="A5" t="s">
        <v>81</v>
      </c>
      <c r="B5" s="9">
        <v>12000</v>
      </c>
      <c r="G5" s="3" t="s">
        <v>82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83</v>
      </c>
      <c r="B6" s="9">
        <v>800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84</v>
      </c>
      <c r="B7" s="12">
        <v>0.15</v>
      </c>
      <c r="G7" s="3" t="s">
        <v>85</v>
      </c>
      <c r="H7" s="3"/>
      <c r="I7" s="3"/>
      <c r="J7" s="3"/>
      <c r="K7" s="3"/>
      <c r="L7" s="3"/>
      <c r="M7" s="3"/>
      <c r="N7" s="3"/>
    </row>
    <row r="8" spans="1:14" x14ac:dyDescent="0.15">
      <c r="G8" s="3"/>
      <c r="H8" s="3"/>
      <c r="I8" s="3"/>
      <c r="J8" s="3"/>
      <c r="K8" s="3"/>
      <c r="L8" s="3"/>
      <c r="M8" s="3"/>
      <c r="N8" s="3"/>
    </row>
    <row r="9" spans="1:14" ht="15" customHeight="1" x14ac:dyDescent="0.15">
      <c r="A9" s="8" t="s">
        <v>40</v>
      </c>
      <c r="G9" s="3" t="s">
        <v>41</v>
      </c>
      <c r="H9" s="3"/>
      <c r="I9" s="3"/>
      <c r="J9" s="3"/>
      <c r="K9" s="3"/>
      <c r="L9" s="3"/>
      <c r="M9" s="3"/>
      <c r="N9" s="3"/>
    </row>
    <row r="10" spans="1:14" ht="43.5" customHeight="1" x14ac:dyDescent="0.15">
      <c r="A10" s="10" t="s">
        <v>42</v>
      </c>
      <c r="B10" s="10" t="s">
        <v>86</v>
      </c>
      <c r="C10" s="10" t="s">
        <v>87</v>
      </c>
      <c r="D10" s="10" t="s">
        <v>88</v>
      </c>
      <c r="G10" s="2" t="s">
        <v>89</v>
      </c>
      <c r="H10" s="2"/>
      <c r="I10" s="2"/>
      <c r="J10" s="2"/>
      <c r="K10" s="2"/>
      <c r="L10" s="2"/>
      <c r="M10" s="2"/>
      <c r="N10" s="2"/>
    </row>
    <row r="11" spans="1:14" x14ac:dyDescent="0.15">
      <c r="A11" s="13">
        <v>0</v>
      </c>
      <c r="B11" s="14">
        <f>$B$5</f>
        <v>12000</v>
      </c>
      <c r="C11" s="14">
        <f>$B$5</f>
        <v>12000</v>
      </c>
      <c r="D11" s="14">
        <f>B11-C11</f>
        <v>0</v>
      </c>
      <c r="G11" s="2"/>
      <c r="H11" s="2"/>
      <c r="I11" s="2"/>
      <c r="J11" s="2"/>
      <c r="K11" s="2"/>
      <c r="L11" s="2"/>
      <c r="M11" s="2"/>
      <c r="N11" s="2"/>
    </row>
    <row r="12" spans="1:14" x14ac:dyDescent="0.15">
      <c r="A12" s="13">
        <v>1</v>
      </c>
      <c r="B12" s="15"/>
      <c r="C12" s="15"/>
      <c r="D12" s="15"/>
    </row>
    <row r="13" spans="1:14" ht="14" x14ac:dyDescent="0.15">
      <c r="A13" s="13">
        <v>2</v>
      </c>
      <c r="B13" s="15"/>
      <c r="C13" s="15"/>
      <c r="D13" s="15"/>
      <c r="G13" s="8" t="s">
        <v>47</v>
      </c>
    </row>
    <row r="14" spans="1:14" ht="15" customHeight="1" x14ac:dyDescent="0.15">
      <c r="A14" s="13">
        <v>3</v>
      </c>
      <c r="B14" s="15"/>
      <c r="C14" s="15"/>
      <c r="D14" s="15"/>
      <c r="G14" s="2" t="s">
        <v>90</v>
      </c>
      <c r="H14" s="2"/>
      <c r="I14" s="2"/>
      <c r="J14" s="2"/>
      <c r="K14" s="2"/>
      <c r="L14" s="2"/>
      <c r="M14" s="2"/>
      <c r="N14" s="2"/>
    </row>
    <row r="15" spans="1:14" x14ac:dyDescent="0.15">
      <c r="A15" s="13">
        <v>4</v>
      </c>
      <c r="B15" s="15"/>
      <c r="C15" s="15"/>
      <c r="D15" s="15"/>
      <c r="G15" s="2"/>
      <c r="H15" s="2"/>
      <c r="I15" s="2"/>
      <c r="J15" s="2"/>
      <c r="K15" s="2"/>
      <c r="L15" s="2"/>
      <c r="M15" s="2"/>
      <c r="N15" s="2"/>
    </row>
    <row r="16" spans="1:14" x14ac:dyDescent="0.15">
      <c r="A16" s="13">
        <v>5</v>
      </c>
      <c r="B16" s="15"/>
      <c r="C16" s="15"/>
      <c r="D16" s="15"/>
      <c r="G16" s="1"/>
      <c r="H16" s="1"/>
      <c r="I16" s="1"/>
      <c r="J16" s="1"/>
      <c r="K16" s="1"/>
      <c r="L16" s="1"/>
      <c r="M16" s="1"/>
      <c r="N16" s="1"/>
    </row>
    <row r="17" spans="1:14" x14ac:dyDescent="0.15">
      <c r="A17" s="13">
        <v>6</v>
      </c>
      <c r="B17" s="15"/>
      <c r="C17" s="15"/>
      <c r="D17" s="15"/>
      <c r="G17" s="1"/>
      <c r="H17" s="1"/>
      <c r="I17" s="1"/>
      <c r="J17" s="1"/>
      <c r="K17" s="1"/>
      <c r="L17" s="1"/>
      <c r="M17" s="1"/>
      <c r="N17" s="1"/>
    </row>
    <row r="18" spans="1:14" x14ac:dyDescent="0.15">
      <c r="A18" s="13">
        <v>7</v>
      </c>
      <c r="B18" s="15"/>
      <c r="C18" s="15"/>
      <c r="D18" s="15"/>
      <c r="G18" s="1"/>
      <c r="H18" s="1"/>
      <c r="I18" s="1"/>
      <c r="J18" s="1"/>
      <c r="K18" s="1"/>
      <c r="L18" s="1"/>
      <c r="M18" s="1"/>
      <c r="N18" s="1"/>
    </row>
    <row r="19" spans="1:14" x14ac:dyDescent="0.15">
      <c r="A19" s="13">
        <v>8</v>
      </c>
      <c r="B19" s="15"/>
      <c r="C19" s="15"/>
      <c r="D19" s="15"/>
    </row>
    <row r="20" spans="1:14" ht="15" customHeight="1" x14ac:dyDescent="0.15">
      <c r="A20" s="13">
        <v>9</v>
      </c>
      <c r="B20" s="15"/>
      <c r="C20" s="15"/>
      <c r="D20" s="15"/>
      <c r="G20" s="2" t="s">
        <v>91</v>
      </c>
      <c r="H20" s="2"/>
      <c r="I20" s="2"/>
      <c r="J20" s="2"/>
      <c r="K20" s="2"/>
      <c r="L20" s="2"/>
      <c r="M20" s="2"/>
      <c r="N20" s="2"/>
    </row>
    <row r="21" spans="1:14" x14ac:dyDescent="0.15">
      <c r="A21" s="13">
        <v>10</v>
      </c>
      <c r="B21" s="15"/>
      <c r="C21" s="15"/>
      <c r="D21" s="15"/>
      <c r="G21" s="2"/>
      <c r="H21" s="2"/>
      <c r="I21" s="2"/>
      <c r="J21" s="2"/>
      <c r="K21" s="2"/>
      <c r="L21" s="2"/>
      <c r="M21" s="2"/>
      <c r="N21" s="2"/>
    </row>
    <row r="22" spans="1:14" x14ac:dyDescent="0.15">
      <c r="A22" s="13">
        <v>11</v>
      </c>
      <c r="B22" s="15"/>
      <c r="C22" s="15"/>
      <c r="D22" s="15"/>
      <c r="G22" s="1"/>
      <c r="H22" s="1"/>
      <c r="I22" s="1"/>
      <c r="J22" s="1"/>
      <c r="K22" s="1"/>
      <c r="L22" s="1"/>
      <c r="M22" s="1"/>
      <c r="N22" s="1"/>
    </row>
    <row r="23" spans="1:14" x14ac:dyDescent="0.15">
      <c r="A23" s="13">
        <v>12</v>
      </c>
      <c r="B23" s="15"/>
      <c r="C23" s="15"/>
      <c r="D23" s="15"/>
      <c r="G23" s="1"/>
      <c r="H23" s="1"/>
      <c r="I23" s="1"/>
      <c r="J23" s="1"/>
      <c r="K23" s="1"/>
      <c r="L23" s="1"/>
      <c r="M23" s="1"/>
      <c r="N23" s="1"/>
    </row>
    <row r="24" spans="1:14" x14ac:dyDescent="0.15">
      <c r="A24" s="13">
        <v>13</v>
      </c>
      <c r="B24" s="15"/>
      <c r="C24" s="15"/>
      <c r="D24" s="15"/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13">
        <v>14</v>
      </c>
      <c r="B25" s="15"/>
      <c r="C25" s="15"/>
      <c r="D25" s="15"/>
    </row>
    <row r="26" spans="1:14" ht="15" customHeight="1" x14ac:dyDescent="0.15">
      <c r="A26" s="13">
        <v>15</v>
      </c>
      <c r="B26" s="15"/>
      <c r="C26" s="15"/>
      <c r="D26" s="15"/>
      <c r="G26" s="2" t="s">
        <v>92</v>
      </c>
      <c r="H26" s="2"/>
      <c r="I26" s="2"/>
      <c r="J26" s="2"/>
      <c r="K26" s="2"/>
      <c r="L26" s="2"/>
      <c r="M26" s="2"/>
      <c r="N26" s="2"/>
    </row>
    <row r="27" spans="1:14" x14ac:dyDescent="0.15">
      <c r="A27" s="13">
        <v>16</v>
      </c>
      <c r="B27" s="15"/>
      <c r="C27" s="15"/>
      <c r="D27" s="15"/>
      <c r="G27" s="2"/>
      <c r="H27" s="2"/>
      <c r="I27" s="2"/>
      <c r="J27" s="2"/>
      <c r="K27" s="2"/>
      <c r="L27" s="2"/>
      <c r="M27" s="2"/>
      <c r="N27" s="2"/>
    </row>
    <row r="28" spans="1:14" x14ac:dyDescent="0.15">
      <c r="A28" s="13">
        <v>17</v>
      </c>
      <c r="B28" s="15"/>
      <c r="C28" s="15"/>
      <c r="D28" s="15"/>
      <c r="G28" s="1"/>
      <c r="H28" s="1"/>
      <c r="I28" s="1"/>
      <c r="J28" s="1"/>
      <c r="K28" s="1"/>
      <c r="L28" s="1"/>
      <c r="M28" s="1"/>
      <c r="N28" s="1"/>
    </row>
    <row r="29" spans="1:14" x14ac:dyDescent="0.15">
      <c r="A29" s="13">
        <v>18</v>
      </c>
      <c r="B29" s="15"/>
      <c r="C29" s="15"/>
      <c r="D29" s="15"/>
      <c r="G29" s="1"/>
      <c r="H29" s="1"/>
      <c r="I29" s="1"/>
      <c r="J29" s="1"/>
      <c r="K29" s="1"/>
      <c r="L29" s="1"/>
      <c r="M29" s="1"/>
      <c r="N29" s="1"/>
    </row>
    <row r="30" spans="1:14" x14ac:dyDescent="0.15">
      <c r="A30" s="13">
        <v>19</v>
      </c>
      <c r="B30" s="15"/>
      <c r="C30" s="15"/>
      <c r="D30" s="15"/>
      <c r="G30" s="1"/>
      <c r="H30" s="1"/>
      <c r="I30" s="1"/>
      <c r="J30" s="1"/>
      <c r="K30" s="1"/>
      <c r="L30" s="1"/>
      <c r="M30" s="1"/>
      <c r="N30" s="1"/>
    </row>
    <row r="31" spans="1:14" x14ac:dyDescent="0.15">
      <c r="A31" s="13">
        <v>20</v>
      </c>
      <c r="B31" s="15"/>
      <c r="C31" s="15"/>
      <c r="D31" s="15"/>
    </row>
    <row r="32" spans="1:14" ht="15" customHeight="1" x14ac:dyDescent="0.15">
      <c r="G32" s="2" t="s">
        <v>93</v>
      </c>
      <c r="H32" s="2"/>
      <c r="I32" s="2"/>
      <c r="J32" s="2"/>
      <c r="K32" s="2"/>
      <c r="L32" s="2"/>
      <c r="M32" s="2"/>
      <c r="N32" s="2"/>
    </row>
    <row r="33" spans="7:14" x14ac:dyDescent="0.15">
      <c r="G33" s="2"/>
      <c r="H33" s="2"/>
      <c r="I33" s="2"/>
      <c r="J33" s="2"/>
      <c r="K33" s="2"/>
      <c r="L33" s="2"/>
      <c r="M33" s="2"/>
      <c r="N33" s="2"/>
    </row>
    <row r="34" spans="7:14" x14ac:dyDescent="0.15">
      <c r="G34" s="1"/>
      <c r="H34" s="1"/>
      <c r="I34" s="1"/>
      <c r="J34" s="1"/>
      <c r="K34" s="1"/>
      <c r="L34" s="1"/>
      <c r="M34" s="1"/>
      <c r="N34" s="1"/>
    </row>
    <row r="35" spans="7:14" x14ac:dyDescent="0.15">
      <c r="G35" s="1"/>
      <c r="H35" s="1"/>
      <c r="I35" s="1"/>
      <c r="J35" s="1"/>
      <c r="K35" s="1"/>
      <c r="L35" s="1"/>
      <c r="M35" s="1"/>
      <c r="N35" s="1"/>
    </row>
    <row r="36" spans="7:14" x14ac:dyDescent="0.15">
      <c r="G36" s="1"/>
      <c r="H36" s="1"/>
      <c r="I36" s="1"/>
      <c r="J36" s="1"/>
      <c r="K36" s="1"/>
      <c r="L36" s="1"/>
      <c r="M36" s="1"/>
      <c r="N36" s="1"/>
    </row>
    <row r="38" spans="7:14" ht="15" customHeight="1" x14ac:dyDescent="0.15">
      <c r="G38" s="2" t="s">
        <v>94</v>
      </c>
      <c r="H38" s="2"/>
      <c r="I38" s="2"/>
      <c r="J38" s="2"/>
      <c r="K38" s="2"/>
      <c r="L38" s="2"/>
      <c r="M38" s="2"/>
      <c r="N38" s="2"/>
    </row>
    <row r="39" spans="7:14" x14ac:dyDescent="0.15">
      <c r="G39" s="2"/>
      <c r="H39" s="2"/>
      <c r="I39" s="2"/>
      <c r="J39" s="2"/>
      <c r="K39" s="2"/>
      <c r="L39" s="2"/>
      <c r="M39" s="2"/>
      <c r="N39" s="2"/>
    </row>
    <row r="40" spans="7:14" x14ac:dyDescent="0.15">
      <c r="G40" s="1"/>
      <c r="H40" s="1"/>
      <c r="I40" s="1"/>
      <c r="J40" s="1"/>
      <c r="K40" s="1"/>
      <c r="L40" s="1"/>
      <c r="M40" s="1"/>
      <c r="N40" s="1"/>
    </row>
    <row r="41" spans="7:14" x14ac:dyDescent="0.15">
      <c r="G41" s="1"/>
      <c r="H41" s="1"/>
      <c r="I41" s="1"/>
      <c r="J41" s="1"/>
      <c r="K41" s="1"/>
      <c r="L41" s="1"/>
      <c r="M41" s="1"/>
      <c r="N41" s="1"/>
    </row>
    <row r="42" spans="7:14" x14ac:dyDescent="0.15">
      <c r="G42" s="1"/>
      <c r="H42" s="1"/>
      <c r="I42" s="1"/>
      <c r="J42" s="1"/>
      <c r="K42" s="1"/>
      <c r="L42" s="1"/>
      <c r="M42" s="1"/>
      <c r="N42" s="1"/>
    </row>
    <row r="44" spans="7:14" ht="15" customHeight="1" x14ac:dyDescent="0.15">
      <c r="G44" s="2" t="s">
        <v>95</v>
      </c>
      <c r="H44" s="2"/>
      <c r="I44" s="2"/>
      <c r="J44" s="2"/>
      <c r="K44" s="2"/>
      <c r="L44" s="2"/>
      <c r="M44" s="2"/>
      <c r="N44" s="2"/>
    </row>
    <row r="45" spans="7:14" x14ac:dyDescent="0.15">
      <c r="G45" s="2"/>
      <c r="H45" s="2"/>
      <c r="I45" s="2"/>
      <c r="J45" s="2"/>
      <c r="K45" s="2"/>
      <c r="L45" s="2"/>
      <c r="M45" s="2"/>
      <c r="N45" s="2"/>
    </row>
    <row r="46" spans="7:14" x14ac:dyDescent="0.15">
      <c r="G46" s="1"/>
      <c r="H46" s="1"/>
      <c r="I46" s="1"/>
      <c r="J46" s="1"/>
      <c r="K46" s="1"/>
      <c r="L46" s="1"/>
      <c r="M46" s="1"/>
      <c r="N46" s="1"/>
    </row>
    <row r="47" spans="7:14" x14ac:dyDescent="0.15">
      <c r="G47" s="1"/>
      <c r="H47" s="1"/>
      <c r="I47" s="1"/>
      <c r="J47" s="1"/>
      <c r="K47" s="1"/>
      <c r="L47" s="1"/>
      <c r="M47" s="1"/>
      <c r="N47" s="1"/>
    </row>
    <row r="48" spans="7:14" x14ac:dyDescent="0.15">
      <c r="G48" s="1"/>
      <c r="H48" s="1"/>
      <c r="I48" s="1"/>
      <c r="J48" s="1"/>
      <c r="K48" s="1"/>
      <c r="L48" s="1"/>
      <c r="M48" s="1"/>
      <c r="N48" s="1"/>
    </row>
  </sheetData>
  <mergeCells count="18">
    <mergeCell ref="G40:N42"/>
    <mergeCell ref="G44:N45"/>
    <mergeCell ref="G46:N48"/>
    <mergeCell ref="G26:N27"/>
    <mergeCell ref="G28:N30"/>
    <mergeCell ref="G32:N33"/>
    <mergeCell ref="G34:N36"/>
    <mergeCell ref="G38:N39"/>
    <mergeCell ref="G10:N11"/>
    <mergeCell ref="G14:N15"/>
    <mergeCell ref="G16:N18"/>
    <mergeCell ref="G20:N21"/>
    <mergeCell ref="G22:N24"/>
    <mergeCell ref="A1:N1"/>
    <mergeCell ref="A2:N2"/>
    <mergeCell ref="G5:N6"/>
    <mergeCell ref="G7:N8"/>
    <mergeCell ref="G9:N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95"/>
  <sheetViews>
    <sheetView showGridLines="0" tabSelected="1" zoomScaleNormal="100" workbookViewId="0">
      <selection activeCell="P38" sqref="P38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14" width="13" customWidth="1"/>
    <col min="15" max="15" width="3" customWidth="1"/>
  </cols>
  <sheetData>
    <row r="1" spans="1:14" ht="31.5" customHeight="1" x14ac:dyDescent="0.15">
      <c r="A1" s="5" t="s">
        <v>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 customHeight="1" x14ac:dyDescent="0.15">
      <c r="A2" s="4" t="s">
        <v>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14" x14ac:dyDescent="0.15">
      <c r="A4" s="8" t="s">
        <v>33</v>
      </c>
      <c r="G4" s="8" t="s">
        <v>34</v>
      </c>
    </row>
    <row r="5" spans="1:14" ht="15" customHeight="1" x14ac:dyDescent="0.15">
      <c r="A5" t="s">
        <v>98</v>
      </c>
      <c r="B5" s="9">
        <v>180000</v>
      </c>
      <c r="G5" s="3" t="s">
        <v>99</v>
      </c>
      <c r="H5" s="3"/>
      <c r="I5" s="3"/>
      <c r="J5" s="3"/>
      <c r="K5" s="3"/>
      <c r="L5" s="3"/>
      <c r="M5" s="3"/>
      <c r="N5" s="3"/>
    </row>
    <row r="6" spans="1:14" x14ac:dyDescent="0.15">
      <c r="A6" t="s">
        <v>58</v>
      </c>
      <c r="B6" s="12">
        <v>5.3999999999999999E-2</v>
      </c>
      <c r="G6" s="3"/>
      <c r="H6" s="3"/>
      <c r="I6" s="3"/>
      <c r="J6" s="3"/>
      <c r="K6" s="3"/>
      <c r="L6" s="3"/>
      <c r="M6" s="3"/>
      <c r="N6" s="3"/>
    </row>
    <row r="7" spans="1:14" ht="15" customHeight="1" x14ac:dyDescent="0.15">
      <c r="A7" t="s">
        <v>100</v>
      </c>
      <c r="B7" s="9">
        <v>2000</v>
      </c>
      <c r="G7" s="3" t="s">
        <v>101</v>
      </c>
      <c r="H7" s="3"/>
      <c r="I7" s="3"/>
      <c r="J7" s="3"/>
      <c r="K7" s="3"/>
      <c r="L7" s="3"/>
      <c r="M7" s="3"/>
      <c r="N7" s="3"/>
    </row>
    <row r="8" spans="1:14" x14ac:dyDescent="0.15">
      <c r="A8" t="s">
        <v>102</v>
      </c>
      <c r="B8" s="18">
        <f>B6/12</f>
        <v>4.4999999999999997E-3</v>
      </c>
      <c r="G8" s="3"/>
      <c r="H8" s="3"/>
      <c r="I8" s="3"/>
      <c r="J8" s="3"/>
      <c r="K8" s="3"/>
      <c r="L8" s="3"/>
      <c r="M8" s="3"/>
      <c r="N8" s="3"/>
    </row>
    <row r="9" spans="1:14" x14ac:dyDescent="0.15">
      <c r="G9" s="3"/>
      <c r="H9" s="3"/>
      <c r="I9" s="3"/>
      <c r="J9" s="3"/>
      <c r="K9" s="3"/>
      <c r="L9" s="3"/>
      <c r="M9" s="3"/>
      <c r="N9" s="3"/>
    </row>
    <row r="10" spans="1:14" ht="15" customHeight="1" x14ac:dyDescent="0.15">
      <c r="A10" s="8" t="s">
        <v>103</v>
      </c>
      <c r="G10" s="3" t="s">
        <v>104</v>
      </c>
      <c r="H10" s="3"/>
      <c r="I10" s="3"/>
      <c r="J10" s="3"/>
      <c r="K10" s="3"/>
      <c r="L10" s="3"/>
      <c r="M10" s="3"/>
      <c r="N10" s="3"/>
    </row>
    <row r="11" spans="1:14" x14ac:dyDescent="0.15">
      <c r="A11" t="s">
        <v>105</v>
      </c>
      <c r="B11" s="19"/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15">
      <c r="A12" t="s">
        <v>106</v>
      </c>
      <c r="B12" s="15"/>
      <c r="G12" s="3" t="s">
        <v>107</v>
      </c>
      <c r="H12" s="3"/>
      <c r="I12" s="3"/>
      <c r="J12" s="3"/>
      <c r="K12" s="3"/>
      <c r="L12" s="3"/>
      <c r="M12" s="3"/>
      <c r="N12" s="3"/>
    </row>
    <row r="13" spans="1:14" x14ac:dyDescent="0.15">
      <c r="A13" t="s">
        <v>108</v>
      </c>
      <c r="B13" s="15"/>
      <c r="G13" s="3"/>
      <c r="H13" s="3"/>
      <c r="I13" s="3"/>
      <c r="J13" s="3"/>
      <c r="K13" s="3"/>
      <c r="L13" s="3"/>
      <c r="M13" s="3"/>
      <c r="N13" s="3"/>
    </row>
    <row r="14" spans="1:14" ht="15" customHeight="1" x14ac:dyDescent="0.15">
      <c r="G14" s="2" t="s">
        <v>109</v>
      </c>
      <c r="H14" s="2"/>
      <c r="I14" s="2"/>
      <c r="J14" s="2"/>
      <c r="K14" s="2"/>
      <c r="L14" s="2"/>
      <c r="M14" s="2"/>
      <c r="N14" s="2"/>
    </row>
    <row r="15" spans="1:14" ht="31.5" customHeight="1" x14ac:dyDescent="0.15">
      <c r="A15" s="10" t="s">
        <v>110</v>
      </c>
      <c r="B15" s="10" t="s">
        <v>111</v>
      </c>
      <c r="C15" s="10" t="s">
        <v>112</v>
      </c>
      <c r="D15" s="10" t="s">
        <v>113</v>
      </c>
      <c r="E15" s="10" t="s">
        <v>114</v>
      </c>
    </row>
    <row r="16" spans="1:14" ht="14" x14ac:dyDescent="0.15">
      <c r="A16" s="13">
        <v>1</v>
      </c>
      <c r="B16" s="20">
        <f>$B$5</f>
        <v>180000</v>
      </c>
      <c r="C16" s="20">
        <f>B16*$B$8</f>
        <v>809.99999999999989</v>
      </c>
      <c r="D16" s="20">
        <f>MIN($B$7,B16+C16)</f>
        <v>2000</v>
      </c>
      <c r="E16" s="20">
        <f>B16+C16-D16</f>
        <v>178810</v>
      </c>
      <c r="G16" s="8" t="s">
        <v>47</v>
      </c>
    </row>
    <row r="17" spans="1:14" ht="15" customHeight="1" x14ac:dyDescent="0.15">
      <c r="A17" s="13">
        <v>2</v>
      </c>
      <c r="B17" s="21"/>
      <c r="C17" s="21"/>
      <c r="D17" s="21"/>
      <c r="E17" s="21"/>
      <c r="G17" s="2" t="s">
        <v>115</v>
      </c>
      <c r="H17" s="2"/>
      <c r="I17" s="2"/>
      <c r="J17" s="2"/>
      <c r="K17" s="2"/>
      <c r="L17" s="2"/>
      <c r="M17" s="2"/>
      <c r="N17" s="2"/>
    </row>
    <row r="18" spans="1:14" x14ac:dyDescent="0.15">
      <c r="A18" s="13">
        <v>3</v>
      </c>
      <c r="B18" s="21"/>
      <c r="C18" s="21"/>
      <c r="D18" s="21"/>
      <c r="E18" s="21"/>
      <c r="G18" s="1"/>
      <c r="H18" s="1"/>
      <c r="I18" s="1"/>
      <c r="J18" s="1"/>
      <c r="K18" s="1"/>
      <c r="L18" s="1"/>
      <c r="M18" s="1"/>
      <c r="N18" s="1"/>
    </row>
    <row r="19" spans="1:14" x14ac:dyDescent="0.15">
      <c r="A19" s="13">
        <v>4</v>
      </c>
      <c r="B19" s="21"/>
      <c r="C19" s="21"/>
      <c r="D19" s="21"/>
      <c r="E19" s="21"/>
      <c r="G19" s="1"/>
      <c r="H19" s="1"/>
      <c r="I19" s="1"/>
      <c r="J19" s="1"/>
      <c r="K19" s="1"/>
      <c r="L19" s="1"/>
      <c r="M19" s="1"/>
      <c r="N19" s="1"/>
    </row>
    <row r="20" spans="1:14" x14ac:dyDescent="0.15">
      <c r="A20" s="13">
        <v>5</v>
      </c>
      <c r="B20" s="21"/>
      <c r="C20" s="21"/>
      <c r="D20" s="21"/>
      <c r="E20" s="21"/>
      <c r="G20" s="1"/>
      <c r="H20" s="1"/>
      <c r="I20" s="1"/>
      <c r="J20" s="1"/>
      <c r="K20" s="1"/>
      <c r="L20" s="1"/>
      <c r="M20" s="1"/>
      <c r="N20" s="1"/>
    </row>
    <row r="21" spans="1:14" x14ac:dyDescent="0.15">
      <c r="A21" s="13">
        <v>6</v>
      </c>
      <c r="B21" s="21"/>
      <c r="C21" s="21"/>
      <c r="D21" s="21"/>
      <c r="E21" s="21"/>
    </row>
    <row r="22" spans="1:14" ht="15" customHeight="1" x14ac:dyDescent="0.15">
      <c r="A22" s="13">
        <v>7</v>
      </c>
      <c r="B22" s="21"/>
      <c r="C22" s="21"/>
      <c r="D22" s="21"/>
      <c r="E22" s="21"/>
      <c r="G22" s="2" t="s">
        <v>116</v>
      </c>
      <c r="H22" s="2"/>
      <c r="I22" s="2"/>
      <c r="J22" s="2"/>
      <c r="K22" s="2"/>
      <c r="L22" s="2"/>
      <c r="M22" s="2"/>
      <c r="N22" s="2"/>
    </row>
    <row r="23" spans="1:14" x14ac:dyDescent="0.15">
      <c r="A23" s="13">
        <v>8</v>
      </c>
      <c r="B23" s="21"/>
      <c r="C23" s="21"/>
      <c r="D23" s="21"/>
      <c r="E23" s="21"/>
      <c r="G23" s="2"/>
      <c r="H23" s="2"/>
      <c r="I23" s="2"/>
      <c r="J23" s="2"/>
      <c r="K23" s="2"/>
      <c r="L23" s="2"/>
      <c r="M23" s="2"/>
      <c r="N23" s="2"/>
    </row>
    <row r="24" spans="1:14" x14ac:dyDescent="0.15">
      <c r="A24" s="13">
        <v>9</v>
      </c>
      <c r="B24" s="21"/>
      <c r="C24" s="21"/>
      <c r="D24" s="21"/>
      <c r="E24" s="21"/>
      <c r="G24" s="1"/>
      <c r="H24" s="1"/>
      <c r="I24" s="1"/>
      <c r="J24" s="1"/>
      <c r="K24" s="1"/>
      <c r="L24" s="1"/>
      <c r="M24" s="1"/>
      <c r="N24" s="1"/>
    </row>
    <row r="25" spans="1:14" x14ac:dyDescent="0.15">
      <c r="A25" s="13">
        <v>10</v>
      </c>
      <c r="B25" s="21"/>
      <c r="C25" s="21"/>
      <c r="D25" s="21"/>
      <c r="E25" s="21"/>
      <c r="G25" s="1"/>
      <c r="H25" s="1"/>
      <c r="I25" s="1"/>
      <c r="J25" s="1"/>
      <c r="K25" s="1"/>
      <c r="L25" s="1"/>
      <c r="M25" s="1"/>
      <c r="N25" s="1"/>
    </row>
    <row r="26" spans="1:14" x14ac:dyDescent="0.15">
      <c r="A26" s="13">
        <v>11</v>
      </c>
      <c r="B26" s="21"/>
      <c r="C26" s="21"/>
      <c r="D26" s="21"/>
      <c r="E26" s="21"/>
      <c r="G26" s="1"/>
      <c r="H26" s="1"/>
      <c r="I26" s="1"/>
      <c r="J26" s="1"/>
      <c r="K26" s="1"/>
      <c r="L26" s="1"/>
      <c r="M26" s="1"/>
      <c r="N26" s="1"/>
    </row>
    <row r="27" spans="1:14" x14ac:dyDescent="0.15">
      <c r="A27" s="13">
        <v>12</v>
      </c>
      <c r="B27" s="21"/>
      <c r="C27" s="21"/>
      <c r="D27" s="21"/>
      <c r="E27" s="21"/>
    </row>
    <row r="28" spans="1:14" ht="15" customHeight="1" x14ac:dyDescent="0.15">
      <c r="A28" s="13">
        <v>13</v>
      </c>
      <c r="B28" s="21"/>
      <c r="C28" s="21"/>
      <c r="D28" s="21"/>
      <c r="E28" s="21"/>
      <c r="G28" s="2" t="s">
        <v>117</v>
      </c>
      <c r="H28" s="2"/>
      <c r="I28" s="2"/>
      <c r="J28" s="2"/>
      <c r="K28" s="2"/>
      <c r="L28" s="2"/>
      <c r="M28" s="2"/>
      <c r="N28" s="2"/>
    </row>
    <row r="29" spans="1:14" x14ac:dyDescent="0.15">
      <c r="A29" s="13">
        <v>14</v>
      </c>
      <c r="B29" s="21"/>
      <c r="C29" s="21"/>
      <c r="D29" s="21"/>
      <c r="E29" s="21"/>
      <c r="G29" s="2"/>
      <c r="H29" s="2"/>
      <c r="I29" s="2"/>
      <c r="J29" s="2"/>
      <c r="K29" s="2"/>
      <c r="L29" s="2"/>
      <c r="M29" s="2"/>
      <c r="N29" s="2"/>
    </row>
    <row r="30" spans="1:14" x14ac:dyDescent="0.15">
      <c r="A30" s="13">
        <v>15</v>
      </c>
      <c r="B30" s="21"/>
      <c r="C30" s="21"/>
      <c r="D30" s="21"/>
      <c r="E30" s="21"/>
      <c r="G30" s="1"/>
      <c r="H30" s="1"/>
      <c r="I30" s="1"/>
      <c r="J30" s="1"/>
      <c r="K30" s="1"/>
      <c r="L30" s="1"/>
      <c r="M30" s="1"/>
      <c r="N30" s="1"/>
    </row>
    <row r="31" spans="1:14" x14ac:dyDescent="0.15">
      <c r="A31" s="13">
        <v>16</v>
      </c>
      <c r="B31" s="21"/>
      <c r="C31" s="21"/>
      <c r="D31" s="21"/>
      <c r="E31" s="21"/>
      <c r="G31" s="1"/>
      <c r="H31" s="1"/>
      <c r="I31" s="1"/>
      <c r="J31" s="1"/>
      <c r="K31" s="1"/>
      <c r="L31" s="1"/>
      <c r="M31" s="1"/>
      <c r="N31" s="1"/>
    </row>
    <row r="32" spans="1:14" x14ac:dyDescent="0.15">
      <c r="A32" s="13">
        <v>17</v>
      </c>
      <c r="B32" s="21"/>
      <c r="C32" s="21"/>
      <c r="D32" s="21"/>
      <c r="E32" s="21"/>
      <c r="G32" s="1"/>
      <c r="H32" s="1"/>
      <c r="I32" s="1"/>
      <c r="J32" s="1"/>
      <c r="K32" s="1"/>
      <c r="L32" s="1"/>
      <c r="M32" s="1"/>
      <c r="N32" s="1"/>
    </row>
    <row r="33" spans="1:14" x14ac:dyDescent="0.15">
      <c r="A33" s="13">
        <v>18</v>
      </c>
      <c r="B33" s="21"/>
      <c r="C33" s="21"/>
      <c r="D33" s="21"/>
      <c r="E33" s="21"/>
    </row>
    <row r="34" spans="1:14" ht="15" customHeight="1" x14ac:dyDescent="0.15">
      <c r="A34" s="13">
        <v>19</v>
      </c>
      <c r="B34" s="21"/>
      <c r="C34" s="21"/>
      <c r="D34" s="21"/>
      <c r="E34" s="21"/>
      <c r="G34" s="2" t="s">
        <v>118</v>
      </c>
      <c r="H34" s="2"/>
      <c r="I34" s="2"/>
      <c r="J34" s="2"/>
      <c r="K34" s="2"/>
      <c r="L34" s="2"/>
      <c r="M34" s="2"/>
      <c r="N34" s="2"/>
    </row>
    <row r="35" spans="1:14" x14ac:dyDescent="0.15">
      <c r="A35" s="13">
        <v>20</v>
      </c>
      <c r="B35" s="21"/>
      <c r="C35" s="21"/>
      <c r="D35" s="21"/>
      <c r="E35" s="21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13">
        <v>21</v>
      </c>
      <c r="B36" s="21"/>
      <c r="C36" s="21"/>
      <c r="D36" s="21"/>
      <c r="E36" s="21"/>
      <c r="G36" s="1"/>
      <c r="H36" s="1"/>
      <c r="I36" s="1"/>
      <c r="J36" s="1"/>
      <c r="K36" s="1"/>
      <c r="L36" s="1"/>
      <c r="M36" s="1"/>
      <c r="N36" s="1"/>
    </row>
    <row r="37" spans="1:14" x14ac:dyDescent="0.15">
      <c r="A37" s="13">
        <v>22</v>
      </c>
      <c r="B37" s="21"/>
      <c r="C37" s="21"/>
      <c r="D37" s="21"/>
      <c r="E37" s="21"/>
      <c r="G37" s="1"/>
      <c r="H37" s="1"/>
      <c r="I37" s="1"/>
      <c r="J37" s="1"/>
      <c r="K37" s="1"/>
      <c r="L37" s="1"/>
      <c r="M37" s="1"/>
      <c r="N37" s="1"/>
    </row>
    <row r="38" spans="1:14" x14ac:dyDescent="0.15">
      <c r="A38" s="13">
        <v>23</v>
      </c>
      <c r="B38" s="21"/>
      <c r="C38" s="21"/>
      <c r="D38" s="21"/>
      <c r="E38" s="21"/>
      <c r="G38" s="1"/>
      <c r="H38" s="1"/>
      <c r="I38" s="1"/>
      <c r="J38" s="1"/>
      <c r="K38" s="1"/>
      <c r="L38" s="1"/>
      <c r="M38" s="1"/>
      <c r="N38" s="1"/>
    </row>
    <row r="39" spans="1:14" x14ac:dyDescent="0.15">
      <c r="A39" s="13">
        <v>24</v>
      </c>
      <c r="B39" s="21"/>
      <c r="C39" s="21"/>
      <c r="D39" s="21"/>
      <c r="E39" s="21"/>
    </row>
    <row r="40" spans="1:14" ht="15" customHeight="1" x14ac:dyDescent="0.15">
      <c r="A40" s="13">
        <v>25</v>
      </c>
      <c r="B40" s="21"/>
      <c r="C40" s="21"/>
      <c r="D40" s="21"/>
      <c r="E40" s="21"/>
      <c r="G40" s="2" t="s">
        <v>119</v>
      </c>
      <c r="H40" s="2"/>
      <c r="I40" s="2"/>
      <c r="J40" s="2"/>
      <c r="K40" s="2"/>
      <c r="L40" s="2"/>
      <c r="M40" s="2"/>
      <c r="N40" s="2"/>
    </row>
    <row r="41" spans="1:14" x14ac:dyDescent="0.15">
      <c r="A41" s="13">
        <v>26</v>
      </c>
      <c r="B41" s="21"/>
      <c r="C41" s="21"/>
      <c r="D41" s="21"/>
      <c r="E41" s="21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13">
        <v>27</v>
      </c>
      <c r="B42" s="21"/>
      <c r="C42" s="21"/>
      <c r="D42" s="21"/>
      <c r="E42" s="21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13">
        <v>28</v>
      </c>
      <c r="B43" s="21"/>
      <c r="C43" s="21"/>
      <c r="D43" s="21"/>
      <c r="E43" s="21"/>
      <c r="G43" s="1"/>
      <c r="H43" s="1"/>
      <c r="I43" s="1"/>
      <c r="J43" s="1"/>
      <c r="K43" s="1"/>
      <c r="L43" s="1"/>
      <c r="M43" s="1"/>
      <c r="N43" s="1"/>
    </row>
    <row r="44" spans="1:14" x14ac:dyDescent="0.15">
      <c r="A44" s="13">
        <v>29</v>
      </c>
      <c r="B44" s="21"/>
      <c r="C44" s="21"/>
      <c r="D44" s="21"/>
      <c r="E44" s="21"/>
      <c r="G44" s="1"/>
      <c r="H44" s="1"/>
      <c r="I44" s="1"/>
      <c r="J44" s="1"/>
      <c r="K44" s="1"/>
      <c r="L44" s="1"/>
      <c r="M44" s="1"/>
      <c r="N44" s="1"/>
    </row>
    <row r="45" spans="1:14" x14ac:dyDescent="0.15">
      <c r="A45" s="13">
        <v>30</v>
      </c>
      <c r="B45" s="21"/>
      <c r="C45" s="21"/>
      <c r="D45" s="21"/>
      <c r="E45" s="21"/>
      <c r="G45" s="1"/>
      <c r="H45" s="1"/>
      <c r="I45" s="1"/>
      <c r="J45" s="1"/>
      <c r="K45" s="1"/>
      <c r="L45" s="1"/>
      <c r="M45" s="1"/>
      <c r="N45" s="1"/>
    </row>
    <row r="46" spans="1:14" x14ac:dyDescent="0.15">
      <c r="A46" s="13">
        <v>31</v>
      </c>
      <c r="B46" s="21"/>
      <c r="C46" s="21"/>
      <c r="D46" s="21"/>
      <c r="E46" s="21"/>
    </row>
    <row r="47" spans="1:14" ht="15" customHeight="1" x14ac:dyDescent="0.15">
      <c r="A47" s="13">
        <v>32</v>
      </c>
      <c r="B47" s="21"/>
      <c r="C47" s="21"/>
      <c r="D47" s="21"/>
      <c r="E47" s="21"/>
      <c r="G47" s="2" t="s">
        <v>120</v>
      </c>
      <c r="H47" s="2"/>
      <c r="I47" s="2"/>
      <c r="J47" s="2"/>
      <c r="K47" s="2"/>
      <c r="L47" s="2"/>
      <c r="M47" s="2"/>
      <c r="N47" s="2"/>
    </row>
    <row r="48" spans="1:14" x14ac:dyDescent="0.15">
      <c r="A48" s="13">
        <v>33</v>
      </c>
      <c r="B48" s="21"/>
      <c r="C48" s="21"/>
      <c r="D48" s="21"/>
      <c r="E48" s="21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13">
        <v>34</v>
      </c>
      <c r="B49" s="21"/>
      <c r="C49" s="21"/>
      <c r="D49" s="21"/>
      <c r="E49" s="21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13">
        <v>35</v>
      </c>
      <c r="B50" s="21"/>
      <c r="C50" s="21"/>
      <c r="D50" s="21"/>
      <c r="E50" s="21"/>
      <c r="G50" s="1"/>
      <c r="H50" s="1"/>
      <c r="I50" s="1"/>
      <c r="J50" s="1"/>
      <c r="K50" s="1"/>
      <c r="L50" s="1"/>
      <c r="M50" s="1"/>
      <c r="N50" s="1"/>
    </row>
    <row r="51" spans="1:14" x14ac:dyDescent="0.15">
      <c r="A51" s="13">
        <v>36</v>
      </c>
      <c r="B51" s="21"/>
      <c r="C51" s="21"/>
      <c r="D51" s="21"/>
      <c r="E51" s="21"/>
      <c r="G51" s="1"/>
      <c r="H51" s="1"/>
      <c r="I51" s="1"/>
      <c r="J51" s="1"/>
      <c r="K51" s="1"/>
      <c r="L51" s="1"/>
      <c r="M51" s="1"/>
      <c r="N51" s="1"/>
    </row>
    <row r="52" spans="1:14" x14ac:dyDescent="0.15">
      <c r="A52" s="13">
        <v>37</v>
      </c>
      <c r="B52" s="21"/>
      <c r="C52" s="21"/>
      <c r="D52" s="21"/>
      <c r="E52" s="2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13">
        <v>38</v>
      </c>
      <c r="B53" s="21"/>
      <c r="C53" s="21"/>
      <c r="D53" s="21"/>
      <c r="E53" s="21"/>
    </row>
    <row r="54" spans="1:14" ht="15" customHeight="1" x14ac:dyDescent="0.15">
      <c r="A54" s="13">
        <v>39</v>
      </c>
      <c r="B54" s="21"/>
      <c r="C54" s="21"/>
      <c r="D54" s="21"/>
      <c r="E54" s="21"/>
      <c r="G54" s="2" t="s">
        <v>121</v>
      </c>
      <c r="H54" s="2"/>
      <c r="I54" s="2"/>
      <c r="J54" s="2"/>
      <c r="K54" s="2"/>
      <c r="L54" s="2"/>
      <c r="M54" s="2"/>
      <c r="N54" s="2"/>
    </row>
    <row r="55" spans="1:14" x14ac:dyDescent="0.15">
      <c r="A55" s="13">
        <v>40</v>
      </c>
      <c r="B55" s="21"/>
      <c r="C55" s="21"/>
      <c r="D55" s="21"/>
      <c r="E55" s="21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13">
        <v>41</v>
      </c>
      <c r="B56" s="21"/>
      <c r="C56" s="21"/>
      <c r="D56" s="21"/>
      <c r="E56" s="21"/>
      <c r="G56" s="1"/>
      <c r="H56" s="1"/>
      <c r="I56" s="1"/>
      <c r="J56" s="1"/>
      <c r="K56" s="1"/>
      <c r="L56" s="1"/>
      <c r="M56" s="1"/>
      <c r="N56" s="1"/>
    </row>
    <row r="57" spans="1:14" x14ac:dyDescent="0.15">
      <c r="A57" s="13">
        <v>42</v>
      </c>
      <c r="B57" s="21"/>
      <c r="C57" s="21"/>
      <c r="D57" s="21"/>
      <c r="E57" s="21"/>
      <c r="G57" s="1"/>
      <c r="H57" s="1"/>
      <c r="I57" s="1"/>
      <c r="J57" s="1"/>
      <c r="K57" s="1"/>
      <c r="L57" s="1"/>
      <c r="M57" s="1"/>
      <c r="N57" s="1"/>
    </row>
    <row r="58" spans="1:14" x14ac:dyDescent="0.15">
      <c r="A58" s="13">
        <v>43</v>
      </c>
      <c r="B58" s="21"/>
      <c r="C58" s="21"/>
      <c r="D58" s="21"/>
      <c r="E58" s="21"/>
      <c r="G58" s="1"/>
      <c r="H58" s="1"/>
      <c r="I58" s="1"/>
      <c r="J58" s="1"/>
      <c r="K58" s="1"/>
      <c r="L58" s="1"/>
      <c r="M58" s="1"/>
      <c r="N58" s="1"/>
    </row>
    <row r="59" spans="1:14" x14ac:dyDescent="0.15">
      <c r="A59" s="13">
        <v>44</v>
      </c>
      <c r="B59" s="21"/>
      <c r="C59" s="21"/>
      <c r="D59" s="21"/>
      <c r="E59" s="21"/>
    </row>
    <row r="60" spans="1:14" x14ac:dyDescent="0.15">
      <c r="A60" s="13">
        <v>45</v>
      </c>
      <c r="B60" s="21"/>
      <c r="C60" s="21"/>
      <c r="D60" s="21"/>
      <c r="E60" s="21"/>
    </row>
    <row r="61" spans="1:14" x14ac:dyDescent="0.15">
      <c r="A61" s="13">
        <v>46</v>
      </c>
      <c r="B61" s="21"/>
      <c r="C61" s="21"/>
      <c r="D61" s="21"/>
      <c r="E61" s="21"/>
    </row>
    <row r="62" spans="1:14" x14ac:dyDescent="0.15">
      <c r="A62" s="13">
        <v>47</v>
      </c>
      <c r="B62" s="21"/>
      <c r="C62" s="21"/>
      <c r="D62" s="21"/>
      <c r="E62" s="21"/>
    </row>
    <row r="63" spans="1:14" x14ac:dyDescent="0.15">
      <c r="A63" s="13">
        <v>48</v>
      </c>
      <c r="B63" s="21"/>
      <c r="C63" s="21"/>
      <c r="D63" s="21"/>
      <c r="E63" s="21"/>
    </row>
    <row r="64" spans="1:14" x14ac:dyDescent="0.15">
      <c r="A64" s="13">
        <v>49</v>
      </c>
      <c r="B64" s="21"/>
      <c r="C64" s="21"/>
      <c r="D64" s="21"/>
      <c r="E64" s="21"/>
    </row>
    <row r="65" spans="1:5" x14ac:dyDescent="0.15">
      <c r="A65" s="13">
        <v>50</v>
      </c>
      <c r="B65" s="21"/>
      <c r="C65" s="21"/>
      <c r="D65" s="21"/>
      <c r="E65" s="21"/>
    </row>
    <row r="66" spans="1:5" x14ac:dyDescent="0.15">
      <c r="A66" s="13">
        <v>51</v>
      </c>
      <c r="B66" s="21"/>
      <c r="C66" s="21"/>
      <c r="D66" s="21"/>
      <c r="E66" s="21"/>
    </row>
    <row r="67" spans="1:5" x14ac:dyDescent="0.15">
      <c r="A67" s="13">
        <v>52</v>
      </c>
      <c r="B67" s="21"/>
      <c r="C67" s="21"/>
      <c r="D67" s="21"/>
      <c r="E67" s="21"/>
    </row>
    <row r="68" spans="1:5" x14ac:dyDescent="0.15">
      <c r="A68" s="13">
        <v>53</v>
      </c>
      <c r="B68" s="21"/>
      <c r="C68" s="21"/>
      <c r="D68" s="21"/>
      <c r="E68" s="21"/>
    </row>
    <row r="69" spans="1:5" x14ac:dyDescent="0.15">
      <c r="A69" s="13">
        <v>54</v>
      </c>
      <c r="B69" s="21"/>
      <c r="C69" s="21"/>
      <c r="D69" s="21"/>
      <c r="E69" s="21"/>
    </row>
    <row r="70" spans="1:5" x14ac:dyDescent="0.15">
      <c r="A70" s="13">
        <v>55</v>
      </c>
      <c r="B70" s="21"/>
      <c r="C70" s="21"/>
      <c r="D70" s="21"/>
      <c r="E70" s="21"/>
    </row>
    <row r="71" spans="1:5" x14ac:dyDescent="0.15">
      <c r="A71" s="13">
        <v>56</v>
      </c>
      <c r="B71" s="21"/>
      <c r="C71" s="21"/>
      <c r="D71" s="21"/>
      <c r="E71" s="21"/>
    </row>
    <row r="72" spans="1:5" x14ac:dyDescent="0.15">
      <c r="A72" s="13">
        <v>57</v>
      </c>
      <c r="B72" s="21"/>
      <c r="C72" s="21"/>
      <c r="D72" s="21"/>
      <c r="E72" s="21"/>
    </row>
    <row r="73" spans="1:5" x14ac:dyDescent="0.15">
      <c r="A73" s="13">
        <v>58</v>
      </c>
      <c r="B73" s="21"/>
      <c r="C73" s="21"/>
      <c r="D73" s="21"/>
      <c r="E73" s="21"/>
    </row>
    <row r="74" spans="1:5" x14ac:dyDescent="0.15">
      <c r="A74" s="13">
        <v>59</v>
      </c>
      <c r="B74" s="21"/>
      <c r="C74" s="21"/>
      <c r="D74" s="21"/>
      <c r="E74" s="21"/>
    </row>
    <row r="75" spans="1:5" x14ac:dyDescent="0.15">
      <c r="A75" s="13">
        <v>60</v>
      </c>
      <c r="B75" s="21"/>
      <c r="C75" s="21"/>
      <c r="D75" s="21"/>
      <c r="E75" s="21"/>
    </row>
    <row r="76" spans="1:5" x14ac:dyDescent="0.15">
      <c r="A76" s="13">
        <v>61</v>
      </c>
      <c r="B76" s="21"/>
      <c r="C76" s="21"/>
      <c r="D76" s="21"/>
      <c r="E76" s="21"/>
    </row>
    <row r="77" spans="1:5" x14ac:dyDescent="0.15">
      <c r="A77" s="13">
        <v>62</v>
      </c>
      <c r="B77" s="21"/>
      <c r="C77" s="21"/>
      <c r="D77" s="21"/>
      <c r="E77" s="21"/>
    </row>
    <row r="78" spans="1:5" x14ac:dyDescent="0.15">
      <c r="A78" s="13">
        <v>63</v>
      </c>
      <c r="B78" s="21"/>
      <c r="C78" s="21"/>
      <c r="D78" s="21"/>
      <c r="E78" s="21"/>
    </row>
    <row r="79" spans="1:5" x14ac:dyDescent="0.15">
      <c r="A79" s="13">
        <v>64</v>
      </c>
      <c r="B79" s="21"/>
      <c r="C79" s="21"/>
      <c r="D79" s="21"/>
      <c r="E79" s="21"/>
    </row>
    <row r="80" spans="1:5" x14ac:dyDescent="0.15">
      <c r="A80" s="13">
        <v>65</v>
      </c>
      <c r="B80" s="21"/>
      <c r="C80" s="21"/>
      <c r="D80" s="21"/>
      <c r="E80" s="21"/>
    </row>
    <row r="81" spans="1:5" x14ac:dyDescent="0.15">
      <c r="A81" s="13">
        <v>66</v>
      </c>
      <c r="B81" s="21"/>
      <c r="C81" s="21"/>
      <c r="D81" s="21"/>
      <c r="E81" s="21"/>
    </row>
    <row r="82" spans="1:5" x14ac:dyDescent="0.15">
      <c r="A82" s="13">
        <v>67</v>
      </c>
      <c r="B82" s="21"/>
      <c r="C82" s="21"/>
      <c r="D82" s="21"/>
      <c r="E82" s="21"/>
    </row>
    <row r="83" spans="1:5" x14ac:dyDescent="0.15">
      <c r="A83" s="13">
        <v>68</v>
      </c>
      <c r="B83" s="21"/>
      <c r="C83" s="21"/>
      <c r="D83" s="21"/>
      <c r="E83" s="21"/>
    </row>
    <row r="84" spans="1:5" x14ac:dyDescent="0.15">
      <c r="A84" s="13">
        <v>69</v>
      </c>
      <c r="B84" s="21"/>
      <c r="C84" s="21"/>
      <c r="D84" s="21"/>
      <c r="E84" s="21"/>
    </row>
    <row r="85" spans="1:5" x14ac:dyDescent="0.15">
      <c r="A85" s="13">
        <v>70</v>
      </c>
      <c r="B85" s="21"/>
      <c r="C85" s="21"/>
      <c r="D85" s="21"/>
      <c r="E85" s="21"/>
    </row>
    <row r="86" spans="1:5" x14ac:dyDescent="0.15">
      <c r="A86" s="13">
        <v>71</v>
      </c>
      <c r="B86" s="21"/>
      <c r="C86" s="21"/>
      <c r="D86" s="21"/>
      <c r="E86" s="21"/>
    </row>
    <row r="87" spans="1:5" x14ac:dyDescent="0.15">
      <c r="A87" s="13">
        <v>72</v>
      </c>
      <c r="B87" s="21"/>
      <c r="C87" s="21"/>
      <c r="D87" s="21"/>
      <c r="E87" s="21"/>
    </row>
    <row r="88" spans="1:5" x14ac:dyDescent="0.15">
      <c r="A88" s="13">
        <v>73</v>
      </c>
      <c r="B88" s="21"/>
      <c r="C88" s="21"/>
      <c r="D88" s="21"/>
      <c r="E88" s="21"/>
    </row>
    <row r="89" spans="1:5" x14ac:dyDescent="0.15">
      <c r="A89" s="13">
        <v>74</v>
      </c>
      <c r="B89" s="21"/>
      <c r="C89" s="21"/>
      <c r="D89" s="21"/>
      <c r="E89" s="21"/>
    </row>
    <row r="90" spans="1:5" x14ac:dyDescent="0.15">
      <c r="A90" s="13">
        <v>75</v>
      </c>
      <c r="B90" s="21"/>
      <c r="C90" s="21"/>
      <c r="D90" s="21"/>
      <c r="E90" s="21"/>
    </row>
    <row r="91" spans="1:5" x14ac:dyDescent="0.15">
      <c r="A91" s="13">
        <v>76</v>
      </c>
      <c r="B91" s="21"/>
      <c r="C91" s="21"/>
      <c r="D91" s="21"/>
      <c r="E91" s="21"/>
    </row>
    <row r="92" spans="1:5" x14ac:dyDescent="0.15">
      <c r="A92" s="13">
        <v>77</v>
      </c>
      <c r="B92" s="21"/>
      <c r="C92" s="21"/>
      <c r="D92" s="21"/>
      <c r="E92" s="21"/>
    </row>
    <row r="93" spans="1:5" x14ac:dyDescent="0.15">
      <c r="A93" s="13">
        <v>78</v>
      </c>
      <c r="B93" s="21"/>
      <c r="C93" s="21"/>
      <c r="D93" s="21"/>
      <c r="E93" s="21"/>
    </row>
    <row r="94" spans="1:5" x14ac:dyDescent="0.15">
      <c r="A94" s="13">
        <v>79</v>
      </c>
      <c r="B94" s="21"/>
      <c r="C94" s="21"/>
      <c r="D94" s="21"/>
      <c r="E94" s="21"/>
    </row>
    <row r="95" spans="1:5" x14ac:dyDescent="0.15">
      <c r="A95" s="13">
        <v>80</v>
      </c>
      <c r="B95" s="21"/>
      <c r="C95" s="21"/>
      <c r="D95" s="21"/>
      <c r="E95" s="21"/>
    </row>
    <row r="96" spans="1:5" x14ac:dyDescent="0.15">
      <c r="A96" s="13">
        <v>81</v>
      </c>
      <c r="B96" s="21"/>
      <c r="C96" s="21"/>
      <c r="D96" s="21"/>
      <c r="E96" s="21"/>
    </row>
    <row r="97" spans="1:5" x14ac:dyDescent="0.15">
      <c r="A97" s="13">
        <v>82</v>
      </c>
      <c r="B97" s="21"/>
      <c r="C97" s="21"/>
      <c r="D97" s="21"/>
      <c r="E97" s="21"/>
    </row>
    <row r="98" spans="1:5" x14ac:dyDescent="0.15">
      <c r="A98" s="13">
        <v>83</v>
      </c>
      <c r="B98" s="21"/>
      <c r="C98" s="21"/>
      <c r="D98" s="21"/>
      <c r="E98" s="21"/>
    </row>
    <row r="99" spans="1:5" x14ac:dyDescent="0.15">
      <c r="A99" s="13">
        <v>84</v>
      </c>
      <c r="B99" s="21"/>
      <c r="C99" s="21"/>
      <c r="D99" s="21"/>
      <c r="E99" s="21"/>
    </row>
    <row r="100" spans="1:5" x14ac:dyDescent="0.15">
      <c r="A100" s="13">
        <v>85</v>
      </c>
      <c r="B100" s="21"/>
      <c r="C100" s="21"/>
      <c r="D100" s="21"/>
      <c r="E100" s="21"/>
    </row>
    <row r="101" spans="1:5" x14ac:dyDescent="0.15">
      <c r="A101" s="13">
        <v>86</v>
      </c>
      <c r="B101" s="21"/>
      <c r="C101" s="21"/>
      <c r="D101" s="21"/>
      <c r="E101" s="21"/>
    </row>
    <row r="102" spans="1:5" x14ac:dyDescent="0.15">
      <c r="A102" s="13">
        <v>87</v>
      </c>
      <c r="B102" s="21"/>
      <c r="C102" s="21"/>
      <c r="D102" s="21"/>
      <c r="E102" s="21"/>
    </row>
    <row r="103" spans="1:5" x14ac:dyDescent="0.15">
      <c r="A103" s="13">
        <v>88</v>
      </c>
      <c r="B103" s="21"/>
      <c r="C103" s="21"/>
      <c r="D103" s="21"/>
      <c r="E103" s="21"/>
    </row>
    <row r="104" spans="1:5" x14ac:dyDescent="0.15">
      <c r="A104" s="13">
        <v>89</v>
      </c>
      <c r="B104" s="21"/>
      <c r="C104" s="21"/>
      <c r="D104" s="21"/>
      <c r="E104" s="21"/>
    </row>
    <row r="105" spans="1:5" x14ac:dyDescent="0.15">
      <c r="A105" s="13">
        <v>90</v>
      </c>
      <c r="B105" s="21"/>
      <c r="C105" s="21"/>
      <c r="D105" s="21"/>
      <c r="E105" s="21"/>
    </row>
    <row r="106" spans="1:5" x14ac:dyDescent="0.15">
      <c r="A106" s="13">
        <v>91</v>
      </c>
      <c r="B106" s="21"/>
      <c r="C106" s="21"/>
      <c r="D106" s="21"/>
      <c r="E106" s="21"/>
    </row>
    <row r="107" spans="1:5" x14ac:dyDescent="0.15">
      <c r="A107" s="13">
        <v>92</v>
      </c>
      <c r="B107" s="21"/>
      <c r="C107" s="21"/>
      <c r="D107" s="21"/>
      <c r="E107" s="21"/>
    </row>
    <row r="108" spans="1:5" x14ac:dyDescent="0.15">
      <c r="A108" s="13">
        <v>93</v>
      </c>
      <c r="B108" s="21"/>
      <c r="C108" s="21"/>
      <c r="D108" s="21"/>
      <c r="E108" s="21"/>
    </row>
    <row r="109" spans="1:5" x14ac:dyDescent="0.15">
      <c r="A109" s="13">
        <v>94</v>
      </c>
      <c r="B109" s="21"/>
      <c r="C109" s="21"/>
      <c r="D109" s="21"/>
      <c r="E109" s="21"/>
    </row>
    <row r="110" spans="1:5" x14ac:dyDescent="0.15">
      <c r="A110" s="13">
        <v>95</v>
      </c>
      <c r="B110" s="21"/>
      <c r="C110" s="21"/>
      <c r="D110" s="21"/>
      <c r="E110" s="21"/>
    </row>
    <row r="111" spans="1:5" x14ac:dyDescent="0.15">
      <c r="A111" s="13">
        <v>96</v>
      </c>
      <c r="B111" s="21"/>
      <c r="C111" s="21"/>
      <c r="D111" s="21"/>
      <c r="E111" s="21"/>
    </row>
    <row r="112" spans="1:5" x14ac:dyDescent="0.15">
      <c r="A112" s="13">
        <v>97</v>
      </c>
      <c r="B112" s="21"/>
      <c r="C112" s="21"/>
      <c r="D112" s="21"/>
      <c r="E112" s="21"/>
    </row>
    <row r="113" spans="1:5" x14ac:dyDescent="0.15">
      <c r="A113" s="13">
        <v>98</v>
      </c>
      <c r="B113" s="21"/>
      <c r="C113" s="21"/>
      <c r="D113" s="21"/>
      <c r="E113" s="21"/>
    </row>
    <row r="114" spans="1:5" x14ac:dyDescent="0.15">
      <c r="A114" s="13">
        <v>99</v>
      </c>
      <c r="B114" s="21"/>
      <c r="C114" s="21"/>
      <c r="D114" s="21"/>
      <c r="E114" s="21"/>
    </row>
    <row r="115" spans="1:5" x14ac:dyDescent="0.15">
      <c r="A115" s="13">
        <v>100</v>
      </c>
      <c r="B115" s="21"/>
      <c r="C115" s="21"/>
      <c r="D115" s="21"/>
      <c r="E115" s="21"/>
    </row>
    <row r="116" spans="1:5" x14ac:dyDescent="0.15">
      <c r="A116" s="13">
        <v>101</v>
      </c>
      <c r="B116" s="21"/>
      <c r="C116" s="21"/>
      <c r="D116" s="21"/>
      <c r="E116" s="21"/>
    </row>
    <row r="117" spans="1:5" x14ac:dyDescent="0.15">
      <c r="A117" s="13">
        <v>102</v>
      </c>
      <c r="B117" s="21"/>
      <c r="C117" s="21"/>
      <c r="D117" s="21"/>
      <c r="E117" s="21"/>
    </row>
    <row r="118" spans="1:5" x14ac:dyDescent="0.15">
      <c r="A118" s="13">
        <v>103</v>
      </c>
      <c r="B118" s="21"/>
      <c r="C118" s="21"/>
      <c r="D118" s="21"/>
      <c r="E118" s="21"/>
    </row>
    <row r="119" spans="1:5" x14ac:dyDescent="0.15">
      <c r="A119" s="13">
        <v>104</v>
      </c>
      <c r="B119" s="21"/>
      <c r="C119" s="21"/>
      <c r="D119" s="21"/>
      <c r="E119" s="21"/>
    </row>
    <row r="120" spans="1:5" x14ac:dyDescent="0.15">
      <c r="A120" s="13">
        <v>105</v>
      </c>
      <c r="B120" s="21"/>
      <c r="C120" s="21"/>
      <c r="D120" s="21"/>
      <c r="E120" s="21"/>
    </row>
    <row r="121" spans="1:5" x14ac:dyDescent="0.15">
      <c r="A121" s="13">
        <v>106</v>
      </c>
      <c r="B121" s="21"/>
      <c r="C121" s="21"/>
      <c r="D121" s="21"/>
      <c r="E121" s="21"/>
    </row>
    <row r="122" spans="1:5" x14ac:dyDescent="0.15">
      <c r="A122" s="13">
        <v>107</v>
      </c>
      <c r="B122" s="21"/>
      <c r="C122" s="21"/>
      <c r="D122" s="21"/>
      <c r="E122" s="21"/>
    </row>
    <row r="123" spans="1:5" x14ac:dyDescent="0.15">
      <c r="A123" s="13">
        <v>108</v>
      </c>
      <c r="B123" s="21"/>
      <c r="C123" s="21"/>
      <c r="D123" s="21"/>
      <c r="E123" s="21"/>
    </row>
    <row r="124" spans="1:5" x14ac:dyDescent="0.15">
      <c r="A124" s="13">
        <v>109</v>
      </c>
      <c r="B124" s="21"/>
      <c r="C124" s="21"/>
      <c r="D124" s="21"/>
      <c r="E124" s="21"/>
    </row>
    <row r="125" spans="1:5" x14ac:dyDescent="0.15">
      <c r="A125" s="13">
        <v>110</v>
      </c>
      <c r="B125" s="21"/>
      <c r="C125" s="21"/>
      <c r="D125" s="21"/>
      <c r="E125" s="21"/>
    </row>
    <row r="126" spans="1:5" x14ac:dyDescent="0.15">
      <c r="A126" s="13">
        <v>111</v>
      </c>
      <c r="B126" s="21"/>
      <c r="C126" s="21"/>
      <c r="D126" s="21"/>
      <c r="E126" s="21"/>
    </row>
    <row r="127" spans="1:5" x14ac:dyDescent="0.15">
      <c r="A127" s="13">
        <v>112</v>
      </c>
      <c r="B127" s="21"/>
      <c r="C127" s="21"/>
      <c r="D127" s="21"/>
      <c r="E127" s="21"/>
    </row>
    <row r="128" spans="1:5" x14ac:dyDescent="0.15">
      <c r="A128" s="13">
        <v>113</v>
      </c>
      <c r="B128" s="21"/>
      <c r="C128" s="21"/>
      <c r="D128" s="21"/>
      <c r="E128" s="21"/>
    </row>
    <row r="129" spans="1:5" x14ac:dyDescent="0.15">
      <c r="A129" s="13">
        <v>114</v>
      </c>
      <c r="B129" s="21"/>
      <c r="C129" s="21"/>
      <c r="D129" s="21"/>
      <c r="E129" s="21"/>
    </row>
    <row r="130" spans="1:5" x14ac:dyDescent="0.15">
      <c r="A130" s="13">
        <v>115</v>
      </c>
      <c r="B130" s="21"/>
      <c r="C130" s="21"/>
      <c r="D130" s="21"/>
      <c r="E130" s="21"/>
    </row>
    <row r="131" spans="1:5" x14ac:dyDescent="0.15">
      <c r="A131" s="13">
        <v>116</v>
      </c>
      <c r="B131" s="21"/>
      <c r="C131" s="21"/>
      <c r="D131" s="21"/>
      <c r="E131" s="21"/>
    </row>
    <row r="132" spans="1:5" x14ac:dyDescent="0.15">
      <c r="A132" s="13">
        <v>117</v>
      </c>
      <c r="B132" s="21"/>
      <c r="C132" s="21"/>
      <c r="D132" s="21"/>
      <c r="E132" s="21"/>
    </row>
    <row r="133" spans="1:5" x14ac:dyDescent="0.15">
      <c r="A133" s="13">
        <v>118</v>
      </c>
      <c r="B133" s="21"/>
      <c r="C133" s="21"/>
      <c r="D133" s="21"/>
      <c r="E133" s="21"/>
    </row>
    <row r="134" spans="1:5" x14ac:dyDescent="0.15">
      <c r="A134" s="13">
        <v>119</v>
      </c>
      <c r="B134" s="21"/>
      <c r="C134" s="21"/>
      <c r="D134" s="21"/>
      <c r="E134" s="21"/>
    </row>
    <row r="135" spans="1:5" x14ac:dyDescent="0.15">
      <c r="A135" s="13">
        <v>120</v>
      </c>
      <c r="B135" s="21"/>
      <c r="C135" s="21"/>
      <c r="D135" s="21"/>
      <c r="E135" s="21"/>
    </row>
    <row r="136" spans="1:5" x14ac:dyDescent="0.15">
      <c r="A136" s="13">
        <v>121</v>
      </c>
      <c r="B136" s="21"/>
      <c r="C136" s="21"/>
      <c r="D136" s="21"/>
      <c r="E136" s="21"/>
    </row>
    <row r="137" spans="1:5" x14ac:dyDescent="0.15">
      <c r="A137" s="13">
        <v>122</v>
      </c>
      <c r="B137" s="21"/>
      <c r="C137" s="21"/>
      <c r="D137" s="21"/>
      <c r="E137" s="21"/>
    </row>
    <row r="138" spans="1:5" x14ac:dyDescent="0.15">
      <c r="A138" s="13">
        <v>123</v>
      </c>
      <c r="B138" s="21"/>
      <c r="C138" s="21"/>
      <c r="D138" s="21"/>
      <c r="E138" s="21"/>
    </row>
    <row r="139" spans="1:5" x14ac:dyDescent="0.15">
      <c r="A139" s="13">
        <v>124</v>
      </c>
      <c r="B139" s="21"/>
      <c r="C139" s="21"/>
      <c r="D139" s="21"/>
      <c r="E139" s="21"/>
    </row>
    <row r="140" spans="1:5" x14ac:dyDescent="0.15">
      <c r="A140" s="13">
        <v>125</v>
      </c>
      <c r="B140" s="21"/>
      <c r="C140" s="21"/>
      <c r="D140" s="21"/>
      <c r="E140" s="21"/>
    </row>
    <row r="141" spans="1:5" x14ac:dyDescent="0.15">
      <c r="A141" s="13">
        <v>126</v>
      </c>
      <c r="B141" s="21"/>
      <c r="C141" s="21"/>
      <c r="D141" s="21"/>
      <c r="E141" s="21"/>
    </row>
    <row r="142" spans="1:5" x14ac:dyDescent="0.15">
      <c r="A142" s="13">
        <v>127</v>
      </c>
      <c r="B142" s="21"/>
      <c r="C142" s="21"/>
      <c r="D142" s="21"/>
      <c r="E142" s="21"/>
    </row>
    <row r="143" spans="1:5" x14ac:dyDescent="0.15">
      <c r="A143" s="13">
        <v>128</v>
      </c>
      <c r="B143" s="21"/>
      <c r="C143" s="21"/>
      <c r="D143" s="21"/>
      <c r="E143" s="21"/>
    </row>
    <row r="144" spans="1:5" x14ac:dyDescent="0.15">
      <c r="A144" s="13">
        <v>129</v>
      </c>
      <c r="B144" s="21"/>
      <c r="C144" s="21"/>
      <c r="D144" s="21"/>
      <c r="E144" s="21"/>
    </row>
    <row r="145" spans="1:5" x14ac:dyDescent="0.15">
      <c r="A145" s="13">
        <v>130</v>
      </c>
      <c r="B145" s="21"/>
      <c r="C145" s="21"/>
      <c r="D145" s="21"/>
      <c r="E145" s="21"/>
    </row>
    <row r="146" spans="1:5" x14ac:dyDescent="0.15">
      <c r="A146" s="13">
        <v>131</v>
      </c>
      <c r="B146" s="21"/>
      <c r="C146" s="21"/>
      <c r="D146" s="21"/>
      <c r="E146" s="21"/>
    </row>
    <row r="147" spans="1:5" x14ac:dyDescent="0.15">
      <c r="A147" s="13">
        <v>132</v>
      </c>
      <c r="B147" s="21"/>
      <c r="C147" s="21"/>
      <c r="D147" s="21"/>
      <c r="E147" s="21"/>
    </row>
    <row r="148" spans="1:5" x14ac:dyDescent="0.15">
      <c r="A148" s="13">
        <v>133</v>
      </c>
      <c r="B148" s="21"/>
      <c r="C148" s="21"/>
      <c r="D148" s="21"/>
      <c r="E148" s="21"/>
    </row>
    <row r="149" spans="1:5" x14ac:dyDescent="0.15">
      <c r="A149" s="13">
        <v>134</v>
      </c>
      <c r="B149" s="21"/>
      <c r="C149" s="21"/>
      <c r="D149" s="21"/>
      <c r="E149" s="21"/>
    </row>
    <row r="150" spans="1:5" x14ac:dyDescent="0.15">
      <c r="A150" s="13">
        <v>135</v>
      </c>
      <c r="B150" s="21"/>
      <c r="C150" s="21"/>
      <c r="D150" s="21"/>
      <c r="E150" s="21"/>
    </row>
    <row r="151" spans="1:5" x14ac:dyDescent="0.15">
      <c r="A151" s="13">
        <v>136</v>
      </c>
      <c r="B151" s="21"/>
      <c r="C151" s="21"/>
      <c r="D151" s="21"/>
      <c r="E151" s="21"/>
    </row>
    <row r="152" spans="1:5" x14ac:dyDescent="0.15">
      <c r="A152" s="13">
        <v>137</v>
      </c>
      <c r="B152" s="21"/>
      <c r="C152" s="21"/>
      <c r="D152" s="21"/>
      <c r="E152" s="21"/>
    </row>
    <row r="153" spans="1:5" x14ac:dyDescent="0.15">
      <c r="A153" s="13">
        <v>138</v>
      </c>
      <c r="B153" s="21"/>
      <c r="C153" s="21"/>
      <c r="D153" s="21"/>
      <c r="E153" s="21"/>
    </row>
    <row r="154" spans="1:5" x14ac:dyDescent="0.15">
      <c r="A154" s="13">
        <v>139</v>
      </c>
      <c r="B154" s="21"/>
      <c r="C154" s="21"/>
      <c r="D154" s="21"/>
      <c r="E154" s="21"/>
    </row>
    <row r="155" spans="1:5" x14ac:dyDescent="0.15">
      <c r="A155" s="13">
        <v>140</v>
      </c>
      <c r="B155" s="21"/>
      <c r="C155" s="21"/>
      <c r="D155" s="21"/>
      <c r="E155" s="21"/>
    </row>
    <row r="156" spans="1:5" x14ac:dyDescent="0.15">
      <c r="A156" s="13">
        <v>141</v>
      </c>
      <c r="B156" s="21"/>
      <c r="C156" s="21"/>
      <c r="D156" s="21"/>
      <c r="E156" s="21"/>
    </row>
    <row r="157" spans="1:5" x14ac:dyDescent="0.15">
      <c r="A157" s="13">
        <v>142</v>
      </c>
      <c r="B157" s="21"/>
      <c r="C157" s="21"/>
      <c r="D157" s="21"/>
      <c r="E157" s="21"/>
    </row>
    <row r="158" spans="1:5" x14ac:dyDescent="0.15">
      <c r="A158" s="13">
        <v>143</v>
      </c>
      <c r="B158" s="21"/>
      <c r="C158" s="21"/>
      <c r="D158" s="21"/>
      <c r="E158" s="21"/>
    </row>
    <row r="159" spans="1:5" x14ac:dyDescent="0.15">
      <c r="A159" s="13">
        <v>144</v>
      </c>
      <c r="B159" s="21"/>
      <c r="C159" s="21"/>
      <c r="D159" s="21"/>
      <c r="E159" s="21"/>
    </row>
    <row r="160" spans="1:5" x14ac:dyDescent="0.15">
      <c r="A160" s="13">
        <v>145</v>
      </c>
      <c r="B160" s="21"/>
      <c r="C160" s="21"/>
      <c r="D160" s="21"/>
      <c r="E160" s="21"/>
    </row>
    <row r="161" spans="1:5" x14ac:dyDescent="0.15">
      <c r="A161" s="13">
        <v>146</v>
      </c>
      <c r="B161" s="21"/>
      <c r="C161" s="21"/>
      <c r="D161" s="21"/>
      <c r="E161" s="21"/>
    </row>
    <row r="162" spans="1:5" x14ac:dyDescent="0.15">
      <c r="A162" s="13">
        <v>147</v>
      </c>
      <c r="B162" s="21"/>
      <c r="C162" s="21"/>
      <c r="D162" s="21"/>
      <c r="E162" s="21"/>
    </row>
    <row r="163" spans="1:5" x14ac:dyDescent="0.15">
      <c r="A163" s="13">
        <v>148</v>
      </c>
      <c r="B163" s="21"/>
      <c r="C163" s="21"/>
      <c r="D163" s="21"/>
      <c r="E163" s="21"/>
    </row>
    <row r="164" spans="1:5" x14ac:dyDescent="0.15">
      <c r="A164" s="13">
        <v>149</v>
      </c>
      <c r="B164" s="21"/>
      <c r="C164" s="21"/>
      <c r="D164" s="21"/>
      <c r="E164" s="21"/>
    </row>
    <row r="165" spans="1:5" x14ac:dyDescent="0.15">
      <c r="A165" s="13">
        <v>150</v>
      </c>
      <c r="B165" s="21"/>
      <c r="C165" s="21"/>
      <c r="D165" s="21"/>
      <c r="E165" s="21"/>
    </row>
    <row r="166" spans="1:5" x14ac:dyDescent="0.15">
      <c r="A166" s="13">
        <v>151</v>
      </c>
      <c r="B166" s="21"/>
      <c r="C166" s="21"/>
      <c r="D166" s="21"/>
      <c r="E166" s="21"/>
    </row>
    <row r="167" spans="1:5" x14ac:dyDescent="0.15">
      <c r="A167" s="13">
        <v>152</v>
      </c>
      <c r="B167" s="21"/>
      <c r="C167" s="21"/>
      <c r="D167" s="21"/>
      <c r="E167" s="21"/>
    </row>
    <row r="168" spans="1:5" x14ac:dyDescent="0.15">
      <c r="A168" s="13">
        <v>153</v>
      </c>
      <c r="B168" s="21"/>
      <c r="C168" s="21"/>
      <c r="D168" s="21"/>
      <c r="E168" s="21"/>
    </row>
    <row r="169" spans="1:5" x14ac:dyDescent="0.15">
      <c r="A169" s="13">
        <v>154</v>
      </c>
      <c r="B169" s="21"/>
      <c r="C169" s="21"/>
      <c r="D169" s="21"/>
      <c r="E169" s="21"/>
    </row>
    <row r="170" spans="1:5" x14ac:dyDescent="0.15">
      <c r="A170" s="13">
        <v>155</v>
      </c>
      <c r="B170" s="21"/>
      <c r="C170" s="21"/>
      <c r="D170" s="21"/>
      <c r="E170" s="21"/>
    </row>
    <row r="171" spans="1:5" x14ac:dyDescent="0.15">
      <c r="A171" s="13">
        <v>156</v>
      </c>
      <c r="B171" s="21"/>
      <c r="C171" s="21"/>
      <c r="D171" s="21"/>
      <c r="E171" s="21"/>
    </row>
    <row r="172" spans="1:5" x14ac:dyDescent="0.15">
      <c r="A172" s="13">
        <v>157</v>
      </c>
      <c r="B172" s="21"/>
      <c r="C172" s="21"/>
      <c r="D172" s="21"/>
      <c r="E172" s="21"/>
    </row>
    <row r="173" spans="1:5" x14ac:dyDescent="0.15">
      <c r="A173" s="13">
        <v>158</v>
      </c>
      <c r="B173" s="21"/>
      <c r="C173" s="21"/>
      <c r="D173" s="21"/>
      <c r="E173" s="21"/>
    </row>
    <row r="174" spans="1:5" x14ac:dyDescent="0.15">
      <c r="A174" s="13">
        <v>159</v>
      </c>
      <c r="B174" s="21"/>
      <c r="C174" s="21"/>
      <c r="D174" s="21"/>
      <c r="E174" s="21"/>
    </row>
    <row r="175" spans="1:5" x14ac:dyDescent="0.15">
      <c r="A175" s="13">
        <v>160</v>
      </c>
      <c r="B175" s="21"/>
      <c r="C175" s="21"/>
      <c r="D175" s="21"/>
      <c r="E175" s="21"/>
    </row>
    <row r="176" spans="1:5" x14ac:dyDescent="0.15">
      <c r="A176" s="13">
        <v>161</v>
      </c>
      <c r="B176" s="21"/>
      <c r="C176" s="21"/>
      <c r="D176" s="21"/>
      <c r="E176" s="21"/>
    </row>
    <row r="177" spans="1:5" x14ac:dyDescent="0.15">
      <c r="A177" s="13">
        <v>162</v>
      </c>
      <c r="B177" s="21"/>
      <c r="C177" s="21"/>
      <c r="D177" s="21"/>
      <c r="E177" s="21"/>
    </row>
    <row r="178" spans="1:5" x14ac:dyDescent="0.15">
      <c r="A178" s="13">
        <v>163</v>
      </c>
      <c r="B178" s="21"/>
      <c r="C178" s="21"/>
      <c r="D178" s="21"/>
      <c r="E178" s="21"/>
    </row>
    <row r="179" spans="1:5" x14ac:dyDescent="0.15">
      <c r="A179" s="13">
        <v>164</v>
      </c>
      <c r="B179" s="21"/>
      <c r="C179" s="21"/>
      <c r="D179" s="21"/>
      <c r="E179" s="21"/>
    </row>
    <row r="180" spans="1:5" x14ac:dyDescent="0.15">
      <c r="A180" s="13">
        <v>165</v>
      </c>
      <c r="B180" s="21"/>
      <c r="C180" s="21"/>
      <c r="D180" s="21"/>
      <c r="E180" s="21"/>
    </row>
    <row r="181" spans="1:5" x14ac:dyDescent="0.15">
      <c r="A181" s="13">
        <v>166</v>
      </c>
      <c r="B181" s="21"/>
      <c r="C181" s="21"/>
      <c r="D181" s="21"/>
      <c r="E181" s="21"/>
    </row>
    <row r="182" spans="1:5" x14ac:dyDescent="0.15">
      <c r="A182" s="13">
        <v>167</v>
      </c>
      <c r="B182" s="21"/>
      <c r="C182" s="21"/>
      <c r="D182" s="21"/>
      <c r="E182" s="21"/>
    </row>
    <row r="183" spans="1:5" x14ac:dyDescent="0.15">
      <c r="A183" s="13">
        <v>168</v>
      </c>
      <c r="B183" s="21"/>
      <c r="C183" s="21"/>
      <c r="D183" s="21"/>
      <c r="E183" s="21"/>
    </row>
    <row r="184" spans="1:5" x14ac:dyDescent="0.15">
      <c r="A184" s="13">
        <v>169</v>
      </c>
      <c r="B184" s="21"/>
      <c r="C184" s="21"/>
      <c r="D184" s="21"/>
      <c r="E184" s="21"/>
    </row>
    <row r="185" spans="1:5" x14ac:dyDescent="0.15">
      <c r="A185" s="13">
        <v>170</v>
      </c>
      <c r="B185" s="21"/>
      <c r="C185" s="21"/>
      <c r="D185" s="21"/>
      <c r="E185" s="21"/>
    </row>
    <row r="186" spans="1:5" x14ac:dyDescent="0.15">
      <c r="A186" s="13">
        <v>171</v>
      </c>
      <c r="B186" s="21"/>
      <c r="C186" s="21"/>
      <c r="D186" s="21"/>
      <c r="E186" s="21"/>
    </row>
    <row r="187" spans="1:5" x14ac:dyDescent="0.15">
      <c r="A187" s="13">
        <v>172</v>
      </c>
      <c r="B187" s="21"/>
      <c r="C187" s="21"/>
      <c r="D187" s="21"/>
      <c r="E187" s="21"/>
    </row>
    <row r="188" spans="1:5" x14ac:dyDescent="0.15">
      <c r="A188" s="13">
        <v>173</v>
      </c>
      <c r="B188" s="21"/>
      <c r="C188" s="21"/>
      <c r="D188" s="21"/>
      <c r="E188" s="21"/>
    </row>
    <row r="189" spans="1:5" x14ac:dyDescent="0.15">
      <c r="A189" s="13">
        <v>174</v>
      </c>
      <c r="B189" s="21"/>
      <c r="C189" s="21"/>
      <c r="D189" s="21"/>
      <c r="E189" s="21"/>
    </row>
    <row r="190" spans="1:5" x14ac:dyDescent="0.15">
      <c r="A190" s="13">
        <v>175</v>
      </c>
      <c r="B190" s="21"/>
      <c r="C190" s="21"/>
      <c r="D190" s="21"/>
      <c r="E190" s="21"/>
    </row>
    <row r="191" spans="1:5" x14ac:dyDescent="0.15">
      <c r="A191" s="13">
        <v>176</v>
      </c>
      <c r="B191" s="21"/>
      <c r="C191" s="21"/>
      <c r="D191" s="21"/>
      <c r="E191" s="21"/>
    </row>
    <row r="192" spans="1:5" x14ac:dyDescent="0.15">
      <c r="A192" s="13">
        <v>177</v>
      </c>
      <c r="B192" s="21"/>
      <c r="C192" s="21"/>
      <c r="D192" s="21"/>
      <c r="E192" s="21"/>
    </row>
    <row r="193" spans="1:5" x14ac:dyDescent="0.15">
      <c r="A193" s="13">
        <v>178</v>
      </c>
      <c r="B193" s="21"/>
      <c r="C193" s="21"/>
      <c r="D193" s="21"/>
      <c r="E193" s="21"/>
    </row>
    <row r="194" spans="1:5" x14ac:dyDescent="0.15">
      <c r="A194" s="13">
        <v>179</v>
      </c>
      <c r="B194" s="21"/>
      <c r="C194" s="21"/>
      <c r="D194" s="21"/>
      <c r="E194" s="21"/>
    </row>
    <row r="195" spans="1:5" x14ac:dyDescent="0.15">
      <c r="A195" s="13">
        <v>180</v>
      </c>
      <c r="B195" s="21"/>
      <c r="C195" s="21"/>
      <c r="D195" s="21"/>
      <c r="E195" s="21"/>
    </row>
  </sheetData>
  <mergeCells count="21">
    <mergeCell ref="G56:N58"/>
    <mergeCell ref="G40:N42"/>
    <mergeCell ref="G43:N45"/>
    <mergeCell ref="G47:N49"/>
    <mergeCell ref="G50:N52"/>
    <mergeCell ref="G54:N55"/>
    <mergeCell ref="G24:N26"/>
    <mergeCell ref="G28:N29"/>
    <mergeCell ref="G30:N32"/>
    <mergeCell ref="G34:N35"/>
    <mergeCell ref="G36:N38"/>
    <mergeCell ref="G12:N13"/>
    <mergeCell ref="G14:N14"/>
    <mergeCell ref="G17:N17"/>
    <mergeCell ref="G18:N20"/>
    <mergeCell ref="G22:N23"/>
    <mergeCell ref="A1:N1"/>
    <mergeCell ref="A2:N2"/>
    <mergeCell ref="G5:N6"/>
    <mergeCell ref="G7:N9"/>
    <mergeCell ref="G10:N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66"/>
  <sheetViews>
    <sheetView showGridLines="0" zoomScaleNormal="100" workbookViewId="0">
      <selection sqref="A1:T1"/>
    </sheetView>
  </sheetViews>
  <sheetFormatPr baseColWidth="10" defaultColWidth="8.6640625" defaultRowHeight="13" x14ac:dyDescent="0.15"/>
  <cols>
    <col min="1" max="1" width="34" customWidth="1"/>
    <col min="2" max="5" width="17" customWidth="1"/>
    <col min="6" max="6" width="3" customWidth="1"/>
    <col min="7" max="7" width="34" customWidth="1"/>
    <col min="8" max="11" width="17" customWidth="1"/>
    <col min="12" max="12" width="3" customWidth="1"/>
    <col min="13" max="20" width="13" customWidth="1"/>
    <col min="21" max="21" width="3" customWidth="1"/>
  </cols>
  <sheetData>
    <row r="1" spans="1:20" ht="31.5" customHeight="1" x14ac:dyDescent="0.15">
      <c r="A1" s="5" t="s">
        <v>122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1.5" customHeight="1" x14ac:dyDescent="0.15">
      <c r="A2" s="4" t="s">
        <v>123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spans="1:20" ht="14" x14ac:dyDescent="0.15">
      <c r="A4" s="8" t="s">
        <v>124</v>
      </c>
      <c r="G4" s="8" t="s">
        <v>125</v>
      </c>
      <c r="M4" s="8" t="s">
        <v>34</v>
      </c>
    </row>
    <row r="5" spans="1:20" ht="15" customHeight="1" x14ac:dyDescent="0.15">
      <c r="A5" s="3" t="s">
        <v>126</v>
      </c>
      <c r="B5" s="3"/>
      <c r="C5" s="3"/>
      <c r="D5" s="3"/>
      <c r="E5" s="3"/>
      <c r="G5" s="3" t="s">
        <v>127</v>
      </c>
      <c r="H5" s="3"/>
      <c r="I5" s="3"/>
      <c r="J5" s="3"/>
      <c r="K5" s="3"/>
      <c r="M5" s="3" t="s">
        <v>128</v>
      </c>
      <c r="N5" s="3"/>
      <c r="O5" s="3"/>
      <c r="P5" s="3"/>
      <c r="Q5" s="3"/>
      <c r="R5" s="3"/>
      <c r="S5" s="3"/>
      <c r="T5" s="3"/>
    </row>
    <row r="6" spans="1:20" x14ac:dyDescent="0.15">
      <c r="A6" s="3"/>
      <c r="B6" s="3"/>
      <c r="C6" s="3"/>
      <c r="D6" s="3"/>
      <c r="E6" s="3"/>
      <c r="G6" s="3"/>
      <c r="H6" s="3"/>
      <c r="I6" s="3"/>
      <c r="J6" s="3"/>
      <c r="K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15">
      <c r="M7" s="3" t="s">
        <v>129</v>
      </c>
      <c r="N7" s="3"/>
      <c r="O7" s="3"/>
      <c r="P7" s="3"/>
      <c r="Q7" s="3"/>
      <c r="R7" s="3"/>
      <c r="S7" s="3"/>
      <c r="T7" s="3"/>
    </row>
    <row r="8" spans="1:20" x14ac:dyDescent="0.15">
      <c r="A8" t="s">
        <v>98</v>
      </c>
      <c r="B8" s="9">
        <v>95000</v>
      </c>
      <c r="G8" t="s">
        <v>98</v>
      </c>
      <c r="H8" s="9">
        <v>60000</v>
      </c>
      <c r="M8" s="3"/>
      <c r="N8" s="3"/>
      <c r="O8" s="3"/>
      <c r="P8" s="3"/>
      <c r="Q8" s="3"/>
      <c r="R8" s="3"/>
      <c r="S8" s="3"/>
      <c r="T8" s="3"/>
    </row>
    <row r="9" spans="1:20" ht="15" customHeight="1" x14ac:dyDescent="0.15">
      <c r="A9" t="s">
        <v>58</v>
      </c>
      <c r="B9" s="12">
        <v>7.1999999999999995E-2</v>
      </c>
      <c r="G9" t="s">
        <v>58</v>
      </c>
      <c r="H9" s="12">
        <v>8.4000000000000005E-2</v>
      </c>
      <c r="M9" s="3" t="s">
        <v>130</v>
      </c>
      <c r="N9" s="3"/>
      <c r="O9" s="3"/>
      <c r="P9" s="3"/>
      <c r="Q9" s="3"/>
      <c r="R9" s="3"/>
      <c r="S9" s="3"/>
      <c r="T9" s="3"/>
    </row>
    <row r="10" spans="1:20" x14ac:dyDescent="0.15">
      <c r="A10" t="s">
        <v>131</v>
      </c>
      <c r="B10" s="16">
        <v>4</v>
      </c>
      <c r="G10" t="s">
        <v>131</v>
      </c>
      <c r="H10" s="16">
        <v>12</v>
      </c>
      <c r="M10" s="3"/>
      <c r="N10" s="3"/>
      <c r="O10" s="3"/>
      <c r="P10" s="3"/>
      <c r="Q10" s="3"/>
      <c r="R10" s="3"/>
      <c r="S10" s="3"/>
      <c r="T10" s="3"/>
    </row>
    <row r="11" spans="1:20" ht="15" customHeight="1" x14ac:dyDescent="0.15">
      <c r="A11" t="s">
        <v>132</v>
      </c>
      <c r="B11" s="16">
        <v>6</v>
      </c>
      <c r="G11" t="s">
        <v>132</v>
      </c>
      <c r="H11" s="16">
        <v>4</v>
      </c>
      <c r="M11" s="3" t="s">
        <v>133</v>
      </c>
      <c r="N11" s="3"/>
      <c r="O11" s="3"/>
      <c r="P11" s="3"/>
      <c r="Q11" s="3"/>
      <c r="R11" s="3"/>
      <c r="S11" s="3"/>
      <c r="T11" s="3"/>
    </row>
    <row r="12" spans="1:20" ht="15" customHeight="1" x14ac:dyDescent="0.15">
      <c r="A12" t="s">
        <v>134</v>
      </c>
      <c r="B12" s="22"/>
      <c r="G12" t="s">
        <v>134</v>
      </c>
      <c r="H12" s="22"/>
      <c r="M12" s="2" t="s">
        <v>135</v>
      </c>
      <c r="N12" s="2"/>
      <c r="O12" s="2"/>
      <c r="P12" s="2"/>
      <c r="Q12" s="2"/>
      <c r="R12" s="2"/>
      <c r="S12" s="2"/>
      <c r="T12" s="2"/>
    </row>
    <row r="13" spans="1:20" x14ac:dyDescent="0.15">
      <c r="A13" t="s">
        <v>136</v>
      </c>
      <c r="B13" s="19"/>
      <c r="G13" t="s">
        <v>136</v>
      </c>
      <c r="H13" s="19"/>
    </row>
    <row r="14" spans="1:20" ht="14" x14ac:dyDescent="0.15">
      <c r="A14" t="s">
        <v>137</v>
      </c>
      <c r="B14" s="15"/>
      <c r="G14" t="s">
        <v>137</v>
      </c>
      <c r="H14" s="15"/>
      <c r="M14" s="8" t="s">
        <v>47</v>
      </c>
    </row>
    <row r="15" spans="1:20" ht="15" customHeight="1" x14ac:dyDescent="0.15">
      <c r="A15" t="s">
        <v>106</v>
      </c>
      <c r="B15" s="15"/>
      <c r="G15" t="s">
        <v>106</v>
      </c>
      <c r="H15" s="15"/>
      <c r="M15" s="2" t="s">
        <v>138</v>
      </c>
      <c r="N15" s="2"/>
      <c r="O15" s="2"/>
      <c r="P15" s="2"/>
      <c r="Q15" s="2"/>
      <c r="R15" s="2"/>
      <c r="S15" s="2"/>
      <c r="T15" s="2"/>
    </row>
    <row r="16" spans="1:20" x14ac:dyDescent="0.15">
      <c r="A16" t="s">
        <v>108</v>
      </c>
      <c r="B16" s="15"/>
      <c r="G16" t="s">
        <v>108</v>
      </c>
      <c r="H16" s="15"/>
      <c r="M16" s="1"/>
      <c r="N16" s="1"/>
      <c r="O16" s="1"/>
      <c r="P16" s="1"/>
      <c r="Q16" s="1"/>
      <c r="R16" s="1"/>
      <c r="S16" s="1"/>
      <c r="T16" s="1"/>
    </row>
    <row r="17" spans="1:20" x14ac:dyDescent="0.15">
      <c r="M17" s="1"/>
      <c r="N17" s="1"/>
      <c r="O17" s="1"/>
      <c r="P17" s="1"/>
      <c r="Q17" s="1"/>
      <c r="R17" s="1"/>
      <c r="S17" s="1"/>
      <c r="T17" s="1"/>
    </row>
    <row r="18" spans="1:20" ht="31.5" customHeight="1" x14ac:dyDescent="0.15">
      <c r="A18" s="10" t="s">
        <v>139</v>
      </c>
      <c r="B18" s="10" t="s">
        <v>111</v>
      </c>
      <c r="C18" s="10" t="s">
        <v>112</v>
      </c>
      <c r="D18" s="10" t="s">
        <v>113</v>
      </c>
      <c r="E18" s="10" t="s">
        <v>114</v>
      </c>
      <c r="G18" s="10" t="s">
        <v>110</v>
      </c>
      <c r="H18" s="10" t="s">
        <v>111</v>
      </c>
      <c r="I18" s="10" t="s">
        <v>112</v>
      </c>
      <c r="J18" s="10" t="s">
        <v>113</v>
      </c>
      <c r="K18" s="10" t="s">
        <v>114</v>
      </c>
      <c r="M18" s="1"/>
      <c r="N18" s="1"/>
      <c r="O18" s="1"/>
      <c r="P18" s="1"/>
      <c r="Q18" s="1"/>
      <c r="R18" s="1"/>
      <c r="S18" s="1"/>
      <c r="T18" s="1"/>
    </row>
    <row r="19" spans="1:20" x14ac:dyDescent="0.15">
      <c r="A19" s="13">
        <v>1</v>
      </c>
      <c r="B19" s="15"/>
      <c r="C19" s="15"/>
      <c r="D19" s="15"/>
      <c r="E19" s="15"/>
      <c r="G19" s="13">
        <v>1</v>
      </c>
      <c r="H19" s="15"/>
      <c r="I19" s="15"/>
      <c r="J19" s="15"/>
      <c r="K19" s="15"/>
    </row>
    <row r="20" spans="1:20" ht="15" customHeight="1" x14ac:dyDescent="0.15">
      <c r="A20" s="13">
        <v>2</v>
      </c>
      <c r="B20" s="15"/>
      <c r="C20" s="15"/>
      <c r="D20" s="15"/>
      <c r="E20" s="15"/>
      <c r="G20" s="13">
        <v>2</v>
      </c>
      <c r="H20" s="15"/>
      <c r="I20" s="15"/>
      <c r="J20" s="15"/>
      <c r="K20" s="15"/>
      <c r="M20" s="2" t="s">
        <v>140</v>
      </c>
      <c r="N20" s="2"/>
      <c r="O20" s="2"/>
      <c r="P20" s="2"/>
      <c r="Q20" s="2"/>
      <c r="R20" s="2"/>
      <c r="S20" s="2"/>
      <c r="T20" s="2"/>
    </row>
    <row r="21" spans="1:20" x14ac:dyDescent="0.15">
      <c r="A21" s="13">
        <v>3</v>
      </c>
      <c r="B21" s="15"/>
      <c r="C21" s="15"/>
      <c r="D21" s="15"/>
      <c r="E21" s="15"/>
      <c r="G21" s="13">
        <v>3</v>
      </c>
      <c r="H21" s="15"/>
      <c r="I21" s="15"/>
      <c r="J21" s="15"/>
      <c r="K21" s="15"/>
      <c r="M21" s="2"/>
      <c r="N21" s="2"/>
      <c r="O21" s="2"/>
      <c r="P21" s="2"/>
      <c r="Q21" s="2"/>
      <c r="R21" s="2"/>
      <c r="S21" s="2"/>
      <c r="T21" s="2"/>
    </row>
    <row r="22" spans="1:20" x14ac:dyDescent="0.15">
      <c r="A22" s="13">
        <v>4</v>
      </c>
      <c r="B22" s="15"/>
      <c r="C22" s="15"/>
      <c r="D22" s="15"/>
      <c r="E22" s="15"/>
      <c r="G22" s="13">
        <v>4</v>
      </c>
      <c r="H22" s="15"/>
      <c r="I22" s="15"/>
      <c r="J22" s="15"/>
      <c r="K22" s="15"/>
      <c r="M22" s="1"/>
      <c r="N22" s="1"/>
      <c r="O22" s="1"/>
      <c r="P22" s="1"/>
      <c r="Q22" s="1"/>
      <c r="R22" s="1"/>
      <c r="S22" s="1"/>
      <c r="T22" s="1"/>
    </row>
    <row r="23" spans="1:20" x14ac:dyDescent="0.15">
      <c r="A23" s="13">
        <v>5</v>
      </c>
      <c r="B23" s="15"/>
      <c r="C23" s="15"/>
      <c r="D23" s="15"/>
      <c r="E23" s="15"/>
      <c r="G23" s="13">
        <v>5</v>
      </c>
      <c r="H23" s="15"/>
      <c r="I23" s="15"/>
      <c r="J23" s="15"/>
      <c r="K23" s="15"/>
      <c r="M23" s="1"/>
      <c r="N23" s="1"/>
      <c r="O23" s="1"/>
      <c r="P23" s="1"/>
      <c r="Q23" s="1"/>
      <c r="R23" s="1"/>
      <c r="S23" s="1"/>
      <c r="T23" s="1"/>
    </row>
    <row r="24" spans="1:20" x14ac:dyDescent="0.15">
      <c r="A24" s="13">
        <v>6</v>
      </c>
      <c r="B24" s="15"/>
      <c r="C24" s="15"/>
      <c r="D24" s="15"/>
      <c r="E24" s="15"/>
      <c r="G24" s="13">
        <v>6</v>
      </c>
      <c r="H24" s="15"/>
      <c r="I24" s="15"/>
      <c r="J24" s="15"/>
      <c r="K24" s="15"/>
      <c r="M24" s="1"/>
      <c r="N24" s="1"/>
      <c r="O24" s="1"/>
      <c r="P24" s="1"/>
      <c r="Q24" s="1"/>
      <c r="R24" s="1"/>
      <c r="S24" s="1"/>
      <c r="T24" s="1"/>
    </row>
    <row r="25" spans="1:20" x14ac:dyDescent="0.15">
      <c r="A25" s="13">
        <v>7</v>
      </c>
      <c r="B25" s="15"/>
      <c r="C25" s="15"/>
      <c r="D25" s="15"/>
      <c r="E25" s="15"/>
      <c r="G25" s="13">
        <v>7</v>
      </c>
      <c r="H25" s="15"/>
      <c r="I25" s="15"/>
      <c r="J25" s="15"/>
      <c r="K25" s="15"/>
    </row>
    <row r="26" spans="1:20" ht="15" customHeight="1" x14ac:dyDescent="0.15">
      <c r="A26" s="13">
        <v>8</v>
      </c>
      <c r="B26" s="15"/>
      <c r="C26" s="15"/>
      <c r="D26" s="15"/>
      <c r="E26" s="15"/>
      <c r="G26" s="13">
        <v>8</v>
      </c>
      <c r="H26" s="15"/>
      <c r="I26" s="15"/>
      <c r="J26" s="15"/>
      <c r="K26" s="15"/>
      <c r="M26" s="2" t="s">
        <v>141</v>
      </c>
      <c r="N26" s="2"/>
      <c r="O26" s="2"/>
      <c r="P26" s="2"/>
      <c r="Q26" s="2"/>
      <c r="R26" s="2"/>
      <c r="S26" s="2"/>
      <c r="T26" s="2"/>
    </row>
    <row r="27" spans="1:20" x14ac:dyDescent="0.15">
      <c r="A27" s="13">
        <v>9</v>
      </c>
      <c r="B27" s="15"/>
      <c r="C27" s="15"/>
      <c r="D27" s="15"/>
      <c r="E27" s="15"/>
      <c r="G27" s="13">
        <v>9</v>
      </c>
      <c r="H27" s="15"/>
      <c r="I27" s="15"/>
      <c r="J27" s="15"/>
      <c r="K27" s="15"/>
      <c r="M27" s="2"/>
      <c r="N27" s="2"/>
      <c r="O27" s="2"/>
      <c r="P27" s="2"/>
      <c r="Q27" s="2"/>
      <c r="R27" s="2"/>
      <c r="S27" s="2"/>
      <c r="T27" s="2"/>
    </row>
    <row r="28" spans="1:20" x14ac:dyDescent="0.15">
      <c r="A28" s="13">
        <v>10</v>
      </c>
      <c r="B28" s="15"/>
      <c r="C28" s="15"/>
      <c r="D28" s="15"/>
      <c r="E28" s="15"/>
      <c r="G28" s="13">
        <v>10</v>
      </c>
      <c r="H28" s="15"/>
      <c r="I28" s="15"/>
      <c r="J28" s="15"/>
      <c r="K28" s="15"/>
      <c r="M28" s="1"/>
      <c r="N28" s="1"/>
      <c r="O28" s="1"/>
      <c r="P28" s="1"/>
      <c r="Q28" s="1"/>
      <c r="R28" s="1"/>
      <c r="S28" s="1"/>
      <c r="T28" s="1"/>
    </row>
    <row r="29" spans="1:20" x14ac:dyDescent="0.15">
      <c r="A29" s="13">
        <v>11</v>
      </c>
      <c r="B29" s="15"/>
      <c r="C29" s="15"/>
      <c r="D29" s="15"/>
      <c r="E29" s="15"/>
      <c r="G29" s="13">
        <v>11</v>
      </c>
      <c r="H29" s="15"/>
      <c r="I29" s="15"/>
      <c r="J29" s="15"/>
      <c r="K29" s="15"/>
      <c r="M29" s="1"/>
      <c r="N29" s="1"/>
      <c r="O29" s="1"/>
      <c r="P29" s="1"/>
      <c r="Q29" s="1"/>
      <c r="R29" s="1"/>
      <c r="S29" s="1"/>
      <c r="T29" s="1"/>
    </row>
    <row r="30" spans="1:20" x14ac:dyDescent="0.15">
      <c r="A30" s="13">
        <v>12</v>
      </c>
      <c r="B30" s="15"/>
      <c r="C30" s="15"/>
      <c r="D30" s="15"/>
      <c r="E30" s="15"/>
      <c r="G30" s="13">
        <v>12</v>
      </c>
      <c r="H30" s="15"/>
      <c r="I30" s="15"/>
      <c r="J30" s="15"/>
      <c r="K30" s="15"/>
      <c r="M30" s="1"/>
      <c r="N30" s="1"/>
      <c r="O30" s="1"/>
      <c r="P30" s="1"/>
      <c r="Q30" s="1"/>
      <c r="R30" s="1"/>
      <c r="S30" s="1"/>
      <c r="T30" s="1"/>
    </row>
    <row r="31" spans="1:20" x14ac:dyDescent="0.15">
      <c r="A31" s="13">
        <v>13</v>
      </c>
      <c r="B31" s="15"/>
      <c r="C31" s="15"/>
      <c r="D31" s="15"/>
      <c r="E31" s="15"/>
      <c r="G31" s="13">
        <v>13</v>
      </c>
      <c r="H31" s="15"/>
      <c r="I31" s="15"/>
      <c r="J31" s="15"/>
      <c r="K31" s="15"/>
    </row>
    <row r="32" spans="1:20" ht="15" customHeight="1" x14ac:dyDescent="0.15">
      <c r="A32" s="13">
        <v>14</v>
      </c>
      <c r="B32" s="15"/>
      <c r="C32" s="15"/>
      <c r="D32" s="15"/>
      <c r="E32" s="15"/>
      <c r="G32" s="13">
        <v>14</v>
      </c>
      <c r="H32" s="15"/>
      <c r="I32" s="15"/>
      <c r="J32" s="15"/>
      <c r="K32" s="15"/>
      <c r="M32" s="2" t="s">
        <v>142</v>
      </c>
      <c r="N32" s="2"/>
      <c r="O32" s="2"/>
      <c r="P32" s="2"/>
      <c r="Q32" s="2"/>
      <c r="R32" s="2"/>
      <c r="S32" s="2"/>
      <c r="T32" s="2"/>
    </row>
    <row r="33" spans="1:20" x14ac:dyDescent="0.15">
      <c r="A33" s="13">
        <v>15</v>
      </c>
      <c r="B33" s="15"/>
      <c r="C33" s="15"/>
      <c r="D33" s="15"/>
      <c r="E33" s="15"/>
      <c r="G33" s="13">
        <v>15</v>
      </c>
      <c r="H33" s="15"/>
      <c r="I33" s="15"/>
      <c r="J33" s="15"/>
      <c r="K33" s="15"/>
      <c r="M33" s="2"/>
      <c r="N33" s="2"/>
      <c r="O33" s="2"/>
      <c r="P33" s="2"/>
      <c r="Q33" s="2"/>
      <c r="R33" s="2"/>
      <c r="S33" s="2"/>
      <c r="T33" s="2"/>
    </row>
    <row r="34" spans="1:20" x14ac:dyDescent="0.15">
      <c r="A34" s="13">
        <v>16</v>
      </c>
      <c r="B34" s="15"/>
      <c r="C34" s="15"/>
      <c r="D34" s="15"/>
      <c r="E34" s="15"/>
      <c r="G34" s="13">
        <v>16</v>
      </c>
      <c r="H34" s="15"/>
      <c r="I34" s="15"/>
      <c r="J34" s="15"/>
      <c r="K34" s="15"/>
      <c r="M34" s="2"/>
      <c r="N34" s="2"/>
      <c r="O34" s="2"/>
      <c r="P34" s="2"/>
      <c r="Q34" s="2"/>
      <c r="R34" s="2"/>
      <c r="S34" s="2"/>
      <c r="T34" s="2"/>
    </row>
    <row r="35" spans="1:20" x14ac:dyDescent="0.15">
      <c r="A35" s="13">
        <v>17</v>
      </c>
      <c r="B35" s="15"/>
      <c r="C35" s="15"/>
      <c r="D35" s="15"/>
      <c r="E35" s="15"/>
      <c r="G35" s="13">
        <v>17</v>
      </c>
      <c r="H35" s="15"/>
      <c r="I35" s="15"/>
      <c r="J35" s="15"/>
      <c r="K35" s="15"/>
      <c r="M35" s="1"/>
      <c r="N35" s="1"/>
      <c r="O35" s="1"/>
      <c r="P35" s="1"/>
      <c r="Q35" s="1"/>
      <c r="R35" s="1"/>
      <c r="S35" s="1"/>
      <c r="T35" s="1"/>
    </row>
    <row r="36" spans="1:20" x14ac:dyDescent="0.15">
      <c r="A36" s="13">
        <v>18</v>
      </c>
      <c r="B36" s="15"/>
      <c r="C36" s="15"/>
      <c r="D36" s="15"/>
      <c r="E36" s="15"/>
      <c r="G36" s="13">
        <v>18</v>
      </c>
      <c r="H36" s="15"/>
      <c r="I36" s="15"/>
      <c r="J36" s="15"/>
      <c r="K36" s="15"/>
      <c r="M36" s="1"/>
      <c r="N36" s="1"/>
      <c r="O36" s="1"/>
      <c r="P36" s="1"/>
      <c r="Q36" s="1"/>
      <c r="R36" s="1"/>
      <c r="S36" s="1"/>
      <c r="T36" s="1"/>
    </row>
    <row r="37" spans="1:20" x14ac:dyDescent="0.15">
      <c r="A37" s="13">
        <v>19</v>
      </c>
      <c r="B37" s="15"/>
      <c r="C37" s="15"/>
      <c r="D37" s="15"/>
      <c r="E37" s="15"/>
      <c r="G37" s="13">
        <v>19</v>
      </c>
      <c r="H37" s="15"/>
      <c r="I37" s="15"/>
      <c r="J37" s="15"/>
      <c r="K37" s="15"/>
      <c r="M37" s="1"/>
      <c r="N37" s="1"/>
      <c r="O37" s="1"/>
      <c r="P37" s="1"/>
      <c r="Q37" s="1"/>
      <c r="R37" s="1"/>
      <c r="S37" s="1"/>
      <c r="T37" s="1"/>
    </row>
    <row r="38" spans="1:20" x14ac:dyDescent="0.15">
      <c r="A38" s="13">
        <v>20</v>
      </c>
      <c r="B38" s="15"/>
      <c r="C38" s="15"/>
      <c r="D38" s="15"/>
      <c r="E38" s="15"/>
      <c r="G38" s="13">
        <v>20</v>
      </c>
      <c r="H38" s="15"/>
      <c r="I38" s="15"/>
      <c r="J38" s="15"/>
      <c r="K38" s="15"/>
    </row>
    <row r="39" spans="1:20" ht="15" customHeight="1" x14ac:dyDescent="0.15">
      <c r="A39" s="13">
        <v>21</v>
      </c>
      <c r="B39" s="15"/>
      <c r="C39" s="15"/>
      <c r="D39" s="15"/>
      <c r="E39" s="15"/>
      <c r="G39" s="13">
        <v>21</v>
      </c>
      <c r="H39" s="15"/>
      <c r="I39" s="15"/>
      <c r="J39" s="15"/>
      <c r="K39" s="15"/>
      <c r="M39" s="2" t="s">
        <v>143</v>
      </c>
      <c r="N39" s="2"/>
      <c r="O39" s="2"/>
      <c r="P39" s="2"/>
      <c r="Q39" s="2"/>
      <c r="R39" s="2"/>
      <c r="S39" s="2"/>
      <c r="T39" s="2"/>
    </row>
    <row r="40" spans="1:20" x14ac:dyDescent="0.15">
      <c r="A40" s="13">
        <v>22</v>
      </c>
      <c r="B40" s="15"/>
      <c r="C40" s="15"/>
      <c r="D40" s="15"/>
      <c r="E40" s="15"/>
      <c r="G40" s="13">
        <v>22</v>
      </c>
      <c r="H40" s="15"/>
      <c r="I40" s="15"/>
      <c r="J40" s="15"/>
      <c r="K40" s="15"/>
      <c r="M40" s="2"/>
      <c r="N40" s="2"/>
      <c r="O40" s="2"/>
      <c r="P40" s="2"/>
      <c r="Q40" s="2"/>
      <c r="R40" s="2"/>
      <c r="S40" s="2"/>
      <c r="T40" s="2"/>
    </row>
    <row r="41" spans="1:20" x14ac:dyDescent="0.15">
      <c r="A41" s="13">
        <v>23</v>
      </c>
      <c r="B41" s="15"/>
      <c r="C41" s="15"/>
      <c r="D41" s="15"/>
      <c r="E41" s="15"/>
      <c r="G41" s="13">
        <v>23</v>
      </c>
      <c r="H41" s="15"/>
      <c r="I41" s="15"/>
      <c r="J41" s="15"/>
      <c r="K41" s="15"/>
      <c r="M41" s="2"/>
      <c r="N41" s="2"/>
      <c r="O41" s="2"/>
      <c r="P41" s="2"/>
      <c r="Q41" s="2"/>
      <c r="R41" s="2"/>
      <c r="S41" s="2"/>
      <c r="T41" s="2"/>
    </row>
    <row r="42" spans="1:20" x14ac:dyDescent="0.15">
      <c r="A42" s="13">
        <v>24</v>
      </c>
      <c r="B42" s="15"/>
      <c r="C42" s="15"/>
      <c r="D42" s="15"/>
      <c r="E42" s="15"/>
      <c r="G42" s="13">
        <v>24</v>
      </c>
      <c r="H42" s="15"/>
      <c r="I42" s="15"/>
      <c r="J42" s="15"/>
      <c r="K42" s="15"/>
      <c r="M42" s="1"/>
      <c r="N42" s="1"/>
      <c r="O42" s="1"/>
      <c r="P42" s="1"/>
      <c r="Q42" s="1"/>
      <c r="R42" s="1"/>
      <c r="S42" s="1"/>
      <c r="T42" s="1"/>
    </row>
    <row r="43" spans="1:20" x14ac:dyDescent="0.15">
      <c r="G43" s="13">
        <v>25</v>
      </c>
      <c r="H43" s="15"/>
      <c r="I43" s="15"/>
      <c r="J43" s="15"/>
      <c r="K43" s="15"/>
      <c r="M43" s="1"/>
      <c r="N43" s="1"/>
      <c r="O43" s="1"/>
      <c r="P43" s="1"/>
      <c r="Q43" s="1"/>
      <c r="R43" s="1"/>
      <c r="S43" s="1"/>
      <c r="T43" s="1"/>
    </row>
    <row r="44" spans="1:20" x14ac:dyDescent="0.15">
      <c r="G44" s="13">
        <v>26</v>
      </c>
      <c r="H44" s="15"/>
      <c r="I44" s="15"/>
      <c r="J44" s="15"/>
      <c r="K44" s="15"/>
      <c r="M44" s="1"/>
      <c r="N44" s="1"/>
      <c r="O44" s="1"/>
      <c r="P44" s="1"/>
      <c r="Q44" s="1"/>
      <c r="R44" s="1"/>
      <c r="S44" s="1"/>
      <c r="T44" s="1"/>
    </row>
    <row r="45" spans="1:20" x14ac:dyDescent="0.15">
      <c r="G45" s="13">
        <v>27</v>
      </c>
      <c r="H45" s="15"/>
      <c r="I45" s="15"/>
      <c r="J45" s="15"/>
      <c r="K45" s="15"/>
    </row>
    <row r="46" spans="1:20" ht="15" customHeight="1" x14ac:dyDescent="0.15">
      <c r="G46" s="13">
        <v>28</v>
      </c>
      <c r="H46" s="15"/>
      <c r="I46" s="15"/>
      <c r="J46" s="15"/>
      <c r="K46" s="15"/>
      <c r="M46" s="2" t="s">
        <v>144</v>
      </c>
      <c r="N46" s="2"/>
      <c r="O46" s="2"/>
      <c r="P46" s="2"/>
      <c r="Q46" s="2"/>
      <c r="R46" s="2"/>
      <c r="S46" s="2"/>
      <c r="T46" s="2"/>
    </row>
    <row r="47" spans="1:20" x14ac:dyDescent="0.15">
      <c r="G47" s="13">
        <v>29</v>
      </c>
      <c r="H47" s="15"/>
      <c r="I47" s="15"/>
      <c r="J47" s="15"/>
      <c r="K47" s="15"/>
      <c r="M47" s="2"/>
      <c r="N47" s="2"/>
      <c r="O47" s="2"/>
      <c r="P47" s="2"/>
      <c r="Q47" s="2"/>
      <c r="R47" s="2"/>
      <c r="S47" s="2"/>
      <c r="T47" s="2"/>
    </row>
    <row r="48" spans="1:20" x14ac:dyDescent="0.15">
      <c r="G48" s="13">
        <v>30</v>
      </c>
      <c r="H48" s="15"/>
      <c r="I48" s="15"/>
      <c r="J48" s="15"/>
      <c r="K48" s="15"/>
      <c r="M48" s="2"/>
      <c r="N48" s="2"/>
      <c r="O48" s="2"/>
      <c r="P48" s="2"/>
      <c r="Q48" s="2"/>
      <c r="R48" s="2"/>
      <c r="S48" s="2"/>
      <c r="T48" s="2"/>
    </row>
    <row r="49" spans="7:20" x14ac:dyDescent="0.15">
      <c r="G49" s="13">
        <v>31</v>
      </c>
      <c r="H49" s="15"/>
      <c r="I49" s="15"/>
      <c r="J49" s="15"/>
      <c r="K49" s="15"/>
      <c r="M49" s="1"/>
      <c r="N49" s="1"/>
      <c r="O49" s="1"/>
      <c r="P49" s="1"/>
      <c r="Q49" s="1"/>
      <c r="R49" s="1"/>
      <c r="S49" s="1"/>
      <c r="T49" s="1"/>
    </row>
    <row r="50" spans="7:20" x14ac:dyDescent="0.15">
      <c r="G50" s="13">
        <v>32</v>
      </c>
      <c r="H50" s="15"/>
      <c r="I50" s="15"/>
      <c r="J50" s="15"/>
      <c r="K50" s="15"/>
      <c r="M50" s="1"/>
      <c r="N50" s="1"/>
      <c r="O50" s="1"/>
      <c r="P50" s="1"/>
      <c r="Q50" s="1"/>
      <c r="R50" s="1"/>
      <c r="S50" s="1"/>
      <c r="T50" s="1"/>
    </row>
    <row r="51" spans="7:20" x14ac:dyDescent="0.15">
      <c r="G51" s="13">
        <v>33</v>
      </c>
      <c r="H51" s="15"/>
      <c r="I51" s="15"/>
      <c r="J51" s="15"/>
      <c r="K51" s="15"/>
      <c r="M51" s="1"/>
      <c r="N51" s="1"/>
      <c r="O51" s="1"/>
      <c r="P51" s="1"/>
      <c r="Q51" s="1"/>
      <c r="R51" s="1"/>
      <c r="S51" s="1"/>
      <c r="T51" s="1"/>
    </row>
    <row r="52" spans="7:20" x14ac:dyDescent="0.15">
      <c r="G52" s="13">
        <v>34</v>
      </c>
      <c r="H52" s="15"/>
      <c r="I52" s="15"/>
      <c r="J52" s="15"/>
      <c r="K52" s="15"/>
    </row>
    <row r="53" spans="7:20" x14ac:dyDescent="0.15">
      <c r="G53" s="13">
        <v>35</v>
      </c>
      <c r="H53" s="15"/>
      <c r="I53" s="15"/>
      <c r="J53" s="15"/>
      <c r="K53" s="15"/>
    </row>
    <row r="54" spans="7:20" x14ac:dyDescent="0.15">
      <c r="G54" s="13">
        <v>36</v>
      </c>
      <c r="H54" s="15"/>
      <c r="I54" s="15"/>
      <c r="J54" s="15"/>
      <c r="K54" s="15"/>
    </row>
    <row r="55" spans="7:20" x14ac:dyDescent="0.15">
      <c r="G55" s="13">
        <v>37</v>
      </c>
      <c r="H55" s="15"/>
      <c r="I55" s="15"/>
      <c r="J55" s="15"/>
      <c r="K55" s="15"/>
    </row>
    <row r="56" spans="7:20" x14ac:dyDescent="0.15">
      <c r="G56" s="13">
        <v>38</v>
      </c>
      <c r="H56" s="15"/>
      <c r="I56" s="15"/>
      <c r="J56" s="15"/>
      <c r="K56" s="15"/>
    </row>
    <row r="57" spans="7:20" x14ac:dyDescent="0.15">
      <c r="G57" s="13">
        <v>39</v>
      </c>
      <c r="H57" s="15"/>
      <c r="I57" s="15"/>
      <c r="J57" s="15"/>
      <c r="K57" s="15"/>
    </row>
    <row r="58" spans="7:20" x14ac:dyDescent="0.15">
      <c r="G58" s="13">
        <v>40</v>
      </c>
      <c r="H58" s="15"/>
      <c r="I58" s="15"/>
      <c r="J58" s="15"/>
      <c r="K58" s="15"/>
    </row>
    <row r="59" spans="7:20" x14ac:dyDescent="0.15">
      <c r="G59" s="13">
        <v>41</v>
      </c>
      <c r="H59" s="15"/>
      <c r="I59" s="15"/>
      <c r="J59" s="15"/>
      <c r="K59" s="15"/>
    </row>
    <row r="60" spans="7:20" x14ac:dyDescent="0.15">
      <c r="G60" s="13">
        <v>42</v>
      </c>
      <c r="H60" s="15"/>
      <c r="I60" s="15"/>
      <c r="J60" s="15"/>
      <c r="K60" s="15"/>
    </row>
    <row r="61" spans="7:20" x14ac:dyDescent="0.15">
      <c r="G61" s="13">
        <v>43</v>
      </c>
      <c r="H61" s="15"/>
      <c r="I61" s="15"/>
      <c r="J61" s="15"/>
      <c r="K61" s="15"/>
    </row>
    <row r="62" spans="7:20" x14ac:dyDescent="0.15">
      <c r="G62" s="13">
        <v>44</v>
      </c>
      <c r="H62" s="15"/>
      <c r="I62" s="15"/>
      <c r="J62" s="15"/>
      <c r="K62" s="15"/>
    </row>
    <row r="63" spans="7:20" x14ac:dyDescent="0.15">
      <c r="G63" s="13">
        <v>45</v>
      </c>
      <c r="H63" s="15"/>
      <c r="I63" s="15"/>
      <c r="J63" s="15"/>
      <c r="K63" s="15"/>
    </row>
    <row r="64" spans="7:20" x14ac:dyDescent="0.15">
      <c r="G64" s="13">
        <v>46</v>
      </c>
      <c r="H64" s="15"/>
      <c r="I64" s="15"/>
      <c r="J64" s="15"/>
      <c r="K64" s="15"/>
    </row>
    <row r="65" spans="7:11" x14ac:dyDescent="0.15">
      <c r="G65" s="13">
        <v>47</v>
      </c>
      <c r="H65" s="15"/>
      <c r="I65" s="15"/>
      <c r="J65" s="15"/>
      <c r="K65" s="15"/>
    </row>
    <row r="66" spans="7:11" x14ac:dyDescent="0.15">
      <c r="G66" s="13">
        <v>48</v>
      </c>
      <c r="H66" s="15"/>
      <c r="I66" s="15"/>
      <c r="J66" s="15"/>
      <c r="K66" s="15"/>
    </row>
  </sheetData>
  <mergeCells count="21">
    <mergeCell ref="M49:T51"/>
    <mergeCell ref="M32:T34"/>
    <mergeCell ref="M35:T37"/>
    <mergeCell ref="M39:T41"/>
    <mergeCell ref="M42:T44"/>
    <mergeCell ref="M46:T48"/>
    <mergeCell ref="M16:T18"/>
    <mergeCell ref="M20:T21"/>
    <mergeCell ref="M22:T24"/>
    <mergeCell ref="M26:T27"/>
    <mergeCell ref="M28:T30"/>
    <mergeCell ref="M7:T8"/>
    <mergeCell ref="M9:T10"/>
    <mergeCell ref="M11:T11"/>
    <mergeCell ref="M12:T12"/>
    <mergeCell ref="M15:T15"/>
    <mergeCell ref="A1:T1"/>
    <mergeCell ref="A2:T2"/>
    <mergeCell ref="A5:E6"/>
    <mergeCell ref="G5:K6"/>
    <mergeCell ref="M5:T6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Task 1 Startup</vt:lpstr>
      <vt:lpstr>Task 2 Innovation fund</vt:lpstr>
      <vt:lpstr>Task 3 Solar panels</vt:lpstr>
      <vt:lpstr>Task 4 Community loan</vt:lpstr>
      <vt:lpstr>Task 5 Two more 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</cp:lastModifiedBy>
  <cp:revision>0</cp:revision>
  <dcterms:created xsi:type="dcterms:W3CDTF">2026-10-08T23:49:29Z</dcterms:created>
  <dcterms:modified xsi:type="dcterms:W3CDTF">2026-10-09T01:55:11Z</dcterms:modified>
  <dc:language>en-US</dc:language>
</cp:coreProperties>
</file>