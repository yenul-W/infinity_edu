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yw/Desktop/infinity_edu/year-11-maths/6. linear-relationships/"/>
    </mc:Choice>
  </mc:AlternateContent>
  <xr:revisionPtr revIDLastSave="0" documentId="13_ncr:1_{D4117E90-36C5-4543-8B37-B40D1CF55EA2}" xr6:coauthVersionLast="47" xr6:coauthVersionMax="47" xr10:uidLastSave="{00000000-0000-0000-0000-000000000000}"/>
  <bookViews>
    <workbookView xWindow="0" yWindow="620" windowWidth="51200" windowHeight="26120" tabRatio="500" activeTab="5" xr2:uid="{00000000-000D-0000-FFFF-FFFF00000000}"/>
  </bookViews>
  <sheets>
    <sheet name="📋 Contents" sheetId="1" r:id="rId1"/>
    <sheet name="📐 Gradient &amp; Intercept" sheetId="2" r:id="rId2"/>
    <sheet name="🧺 Picnic Business" sheetId="3" r:id="rId3"/>
    <sheet name="🚗 Distance &amp; Time" sheetId="4" r:id="rId4"/>
    <sheet name="💧 Direct Variation" sheetId="5" r:id="rId5"/>
    <sheet name="📊 Interp &amp; Extrap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4" l="1"/>
  <c r="C32" i="4"/>
  <c r="E7" i="4"/>
  <c r="E6" i="4"/>
  <c r="D16" i="3"/>
  <c r="C27" i="2"/>
  <c r="C28" i="2"/>
  <c r="C29" i="2"/>
  <c r="C30" i="2"/>
  <c r="C31" i="2"/>
  <c r="C32" i="2"/>
  <c r="C33" i="2"/>
  <c r="C34" i="2"/>
  <c r="C35" i="2"/>
  <c r="C26" i="2"/>
  <c r="C23" i="2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5" i="5"/>
  <c r="C25" i="5" s="1"/>
  <c r="D22" i="4"/>
  <c r="C22" i="4"/>
  <c r="D21" i="4"/>
  <c r="E21" i="4" s="1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C9" i="3"/>
  <c r="C27" i="3" s="1"/>
  <c r="C45" i="2"/>
  <c r="C44" i="2"/>
  <c r="C20" i="5" l="1"/>
  <c r="C24" i="5"/>
  <c r="C26" i="5"/>
  <c r="C22" i="5"/>
  <c r="D30" i="5"/>
  <c r="D31" i="5"/>
  <c r="C34" i="4"/>
  <c r="E14" i="4"/>
  <c r="E13" i="4"/>
  <c r="E20" i="4"/>
  <c r="E19" i="4"/>
  <c r="E18" i="4"/>
  <c r="E15" i="4"/>
  <c r="E22" i="4"/>
  <c r="E16" i="4"/>
  <c r="E17" i="4"/>
  <c r="E12" i="4"/>
  <c r="G16" i="3"/>
  <c r="C16" i="3"/>
  <c r="F16" i="3"/>
  <c r="C20" i="3"/>
  <c r="C21" i="3"/>
  <c r="C24" i="3"/>
  <c r="C28" i="3"/>
  <c r="H16" i="3"/>
  <c r="E16" i="3"/>
  <c r="C46" i="2"/>
  <c r="C47" i="2" s="1"/>
  <c r="C22" i="3"/>
  <c r="C23" i="3"/>
  <c r="C16" i="5"/>
  <c r="C25" i="3"/>
  <c r="C21" i="5"/>
  <c r="C26" i="3"/>
  <c r="C10" i="3"/>
  <c r="C23" i="5"/>
</calcChain>
</file>

<file path=xl/sharedStrings.xml><?xml version="1.0" encoding="utf-8"?>
<sst xmlns="http://schemas.openxmlformats.org/spreadsheetml/2006/main" count="223" uniqueCount="206">
  <si>
    <t>Year 11 Standard Maths – Linear Relationships</t>
  </si>
  <si>
    <t>Linear Modelling &amp; Direct Variation Tutorial</t>
  </si>
  <si>
    <t>📌 How to use this workbook:</t>
  </si>
  <si>
    <t>• YELLOW cells = inputs you can change — the tables AND charts update automatically</t>
  </si>
  <si>
    <t>• Black cells = formulas (do not edit)</t>
  </si>
  <si>
    <t>• Every sheet contains a live chart. Change the inputs and watch the line move!</t>
  </si>
  <si>
    <t>• The key equation form is  y = mx + c   (m = gradient,  c = y-intercept)</t>
  </si>
  <si>
    <t>Sheet</t>
  </si>
  <si>
    <t>Topic</t>
  </si>
  <si>
    <t>Level</t>
  </si>
  <si>
    <t>📐 Gradient &amp; Intercept</t>
  </si>
  <si>
    <t>Find m and c from equations and graphs; construct straight lines</t>
  </si>
  <si>
    <t>⭐</t>
  </si>
  <si>
    <t>🧺 Picnic Business</t>
  </si>
  <si>
    <t>The syllabus example: fixed fees + hourly rate → y = mx + c</t>
  </si>
  <si>
    <t>🚗 Distance &amp; Time</t>
  </si>
  <si>
    <t>Distance–time model; change speed and watch the line change</t>
  </si>
  <si>
    <t>⭐⭐</t>
  </si>
  <si>
    <t>💧 Direct Variation</t>
  </si>
  <si>
    <t>y = kx: through the origin; find k; solve problems</t>
  </si>
  <si>
    <t>📊 Interp &amp; Extrap</t>
  </si>
  <si>
    <t>Interpolation vs extrapolation; limitations of linear models</t>
  </si>
  <si>
    <t>⭐⭐⭐</t>
  </si>
  <si>
    <t>Gradient &amp; y-Intercept – The Building Blocks</t>
  </si>
  <si>
    <t>Key Definitions</t>
  </si>
  <si>
    <t>Feature</t>
  </si>
  <si>
    <t>Symbol</t>
  </si>
  <si>
    <t>Meaning</t>
  </si>
  <si>
    <t>How to find it</t>
  </si>
  <si>
    <t>Gradient</t>
  </si>
  <si>
    <t>m</t>
  </si>
  <si>
    <t>Rate of change — how much y increases for every 1 unit increase in x</t>
  </si>
  <si>
    <t>m = rise ÷ run  =  (y₂−y₁)/(x₂−x₁)</t>
  </si>
  <si>
    <t>y-intercept</t>
  </si>
  <si>
    <t>Where the line crosses the y-axis (the value of y when x = 0)</t>
  </si>
  <si>
    <t>Read the graph at x = 0, or the constant term in the equation</t>
  </si>
  <si>
    <t>Reading m and c FROM an Equation</t>
  </si>
  <si>
    <t>Equation</t>
  </si>
  <si>
    <t>Gradient m</t>
  </si>
  <si>
    <t>y-intercept c</t>
  </si>
  <si>
    <t>Interpretation</t>
  </si>
  <si>
    <t>y = 3x + 2</t>
  </si>
  <si>
    <t>3</t>
  </si>
  <si>
    <t>2</t>
  </si>
  <si>
    <t>Steep upward slope, crosses y-axis at 2</t>
  </si>
  <si>
    <t>y = −2x + 5</t>
  </si>
  <si>
    <t>−2</t>
  </si>
  <si>
    <t>5</t>
  </si>
  <si>
    <t>Downward slope, crosses y-axis at 5</t>
  </si>
  <si>
    <t>y = x</t>
  </si>
  <si>
    <t>1</t>
  </si>
  <si>
    <t>0</t>
  </si>
  <si>
    <t>45° line through the origin (direct variation!)</t>
  </si>
  <si>
    <t>y = 0.5x − 4</t>
  </si>
  <si>
    <t>0.5</t>
  </si>
  <si>
    <t>−4</t>
  </si>
  <si>
    <t>Gentle slope, crosses y-axis below zero</t>
  </si>
  <si>
    <t>y = 7</t>
  </si>
  <si>
    <t>7</t>
  </si>
  <si>
    <t>Horizontal line (zero gradient)</t>
  </si>
  <si>
    <t>Change the yellow cells and watch the table AND the chart update.</t>
  </si>
  <si>
    <t>Parameter</t>
  </si>
  <si>
    <t>Value</t>
  </si>
  <si>
    <t>Gradient (m)</t>
  </si>
  <si>
    <t>Equation:</t>
  </si>
  <si>
    <t>x</t>
  </si>
  <si>
    <t>Finding the Gradient from Two Points</t>
  </si>
  <si>
    <t>Given two points on a line, m = (y₂ − y₁) ÷ (x₂ − x₁). Change the yellow points below.</t>
  </si>
  <si>
    <t>Point</t>
  </si>
  <si>
    <t>y</t>
  </si>
  <si>
    <t>Point 1 (x₁, y₁)</t>
  </si>
  <si>
    <t>Point 2 (x₂, y₂)</t>
  </si>
  <si>
    <t>Rise (y₂ − y₁)</t>
  </si>
  <si>
    <t>Run (x₂ − x₁)</t>
  </si>
  <si>
    <t>Gradient m = rise ÷ run</t>
  </si>
  <si>
    <t>Picnic Business – The Syllabus Example</t>
  </si>
  <si>
    <t>📘 A picnic set-up business charges $50 set-up + $50 pack-up + $80 per hour. Model the total cost.</t>
  </si>
  <si>
    <t>Charges (inputs)</t>
  </si>
  <si>
    <t>Charge</t>
  </si>
  <si>
    <t>Amount ($)</t>
  </si>
  <si>
    <t>Set-up fee</t>
  </si>
  <si>
    <t>Pack-up fee</t>
  </si>
  <si>
    <t>Cost per hour</t>
  </si>
  <si>
    <t>Fixed cost (c) = set-up + pack-up</t>
  </si>
  <si>
    <t>Equation of the model:</t>
  </si>
  <si>
    <t>Here: n = hours of hire (x), C = total cost (y), gradient m = $80/hr (rate of change), y-intercept c = $100 (fixed cost).</t>
  </si>
  <si>
    <t>Cost Table – hours across the top (matches the syllabus layout)</t>
  </si>
  <si>
    <t>Hours (n)</t>
  </si>
  <si>
    <t>4</t>
  </si>
  <si>
    <t>Total cost (C)</t>
  </si>
  <si>
    <t>Vertical Table (used by the chart)</t>
  </si>
  <si>
    <t>Hours</t>
  </si>
  <si>
    <t>Total Cost ($)</t>
  </si>
  <si>
    <t>Interpret the Model</t>
  </si>
  <si>
    <t>The y-intercept ($100) means:</t>
  </si>
  <si>
    <t>Even for 0 hours of hire, you pay $100 — the fixed set-up + pack-up cost.</t>
  </si>
  <si>
    <t>The gradient ($80/hr) means:</t>
  </si>
  <si>
    <t>Every extra hour of hire adds $80 to the total. This is the RATE OF CHANGE.</t>
  </si>
  <si>
    <t>Using the model:</t>
  </si>
  <si>
    <t>A 6-hour picnic costs C = 80(6) + 100 = $580. Check by extending the table.</t>
  </si>
  <si>
    <t>💡 Try changing the hourly rate to $95 and watch the line get steeper. Change the fees and watch the line shift up/down.</t>
  </si>
  <si>
    <t>Distance–Time Linear Model</t>
  </si>
  <si>
    <t>📘 Distance = speed × time is a linear relationship: d = st. Compare two travellers on one chart.</t>
  </si>
  <si>
    <t>Inputs</t>
  </si>
  <si>
    <t>Traveller</t>
  </si>
  <si>
    <t>Speed (km/h)</t>
  </si>
  <si>
    <t>Head start (km)</t>
  </si>
  <si>
    <t>Car A</t>
  </si>
  <si>
    <t>Car B</t>
  </si>
  <si>
    <t>Car B leaves 30 min late so it starts 40 km 'behind' (negative intercept). Gradient = speed = rate of change.</t>
  </si>
  <si>
    <t>Distance Table (every half hour)</t>
  </si>
  <si>
    <t>Time t (h)</t>
  </si>
  <si>
    <t>Car A distance (km)</t>
  </si>
  <si>
    <t>Car B distance (km)</t>
  </si>
  <si>
    <t>Gap A−B (km)</t>
  </si>
  <si>
    <t>Solving with the Model</t>
  </si>
  <si>
    <t>When does Car B catch Car A?</t>
  </si>
  <si>
    <t>Set the equations equal: 60t = 80t − 40  →  20t = 40  →  t = 2 hours. Check: gap = 0 in the table at t = 2.</t>
  </si>
  <si>
    <t>Interpolation example:</t>
  </si>
  <si>
    <t>Car A at t = 2.5 h → d = 60 × 2.5 = 150 km. This is INSIDE our data range (0–5 h), so it's reliable.</t>
  </si>
  <si>
    <t>Extrapolation example:</t>
  </si>
  <si>
    <t>Car A at t = 12 h → d = 720 km. This is OUTSIDE our range: is it realistic to drive 12 h at exactly 60 km/h with no stops?</t>
  </si>
  <si>
    <t>💡 Change Car B's speed to 60 km/h — the lines become parallel and B never catches A. What does this mean about gradients?</t>
  </si>
  <si>
    <t>Direct Variation:  y = kx</t>
  </si>
  <si>
    <t>📘 Direct variation means y is directly proportional to x. The graph is a straight line THROUGH THE ORIGIN.</t>
  </si>
  <si>
    <t>Key Facts</t>
  </si>
  <si>
    <t>• Form:  y = kx   where k is the CONSTANT OF VARIATION (also the gradient)</t>
  </si>
  <si>
    <t>• The line always passes through the origin (0, 0) — when x = 0, y = 0</t>
  </si>
  <si>
    <t>• Doubling x doubles y. Tripling x triples y. (This is what 'proportional' means.)</t>
  </si>
  <si>
    <t>• To find k: given ONE pair of values,  k = y ÷ x</t>
  </si>
  <si>
    <t>• Real examples: cost = price/kg × kg;  fuel used = rate × distance;  pay = rate × hours</t>
  </si>
  <si>
    <t>Worked Example – Water Usage</t>
  </si>
  <si>
    <t>A shower uses water at a constant rate. A 6-minute shower uses 54 litres. Find k and model the relationship.</t>
  </si>
  <si>
    <t>Step</t>
  </si>
  <si>
    <t>Working</t>
  </si>
  <si>
    <t>Known pair (x, y)</t>
  </si>
  <si>
    <t>x = 6 min, y = 54 L</t>
  </si>
  <si>
    <t>Find k = y ÷ x</t>
  </si>
  <si>
    <t>54 ÷ 6</t>
  </si>
  <si>
    <t>Model equation</t>
  </si>
  <si>
    <t>Use the Model – table and chart</t>
  </si>
  <si>
    <t>Minutes (x)</t>
  </si>
  <si>
    <t>Litres (y = kx)</t>
  </si>
  <si>
    <t>Solve Problems with the Formula</t>
  </si>
  <si>
    <t>Question</t>
  </si>
  <si>
    <t>Answer</t>
  </si>
  <si>
    <t>Water used in a 15-min shower?</t>
  </si>
  <si>
    <t>y = 9 × 15</t>
  </si>
  <si>
    <t>How long to use 100 L?</t>
  </si>
  <si>
    <t>x = y ÷ k = 100 ÷ 9</t>
  </si>
  <si>
    <t>Is it Direct Variation? – test yourself</t>
  </si>
  <si>
    <t>Scenario</t>
  </si>
  <si>
    <t>Direct variation?</t>
  </si>
  <si>
    <t>Why / why not</t>
  </si>
  <si>
    <t>Petrol cost vs litres pumped</t>
  </si>
  <si>
    <t>YES</t>
  </si>
  <si>
    <t>Cost = $/L × litres; passes through origin</t>
  </si>
  <si>
    <t>Taxi fare vs distance</t>
  </si>
  <si>
    <t>NO</t>
  </si>
  <si>
    <t>Flag-fall fee means intercept ≠ 0 — linear but NOT direct variation</t>
  </si>
  <si>
    <t>Pay vs hours worked (no base)</t>
  </si>
  <si>
    <t>Pay = rate × hours</t>
  </si>
  <si>
    <t>Phone plan: $30/month + $0.10/GB</t>
  </si>
  <si>
    <t>Fixed $30 means intercept ≠ 0</t>
  </si>
  <si>
    <t>💡 KEY TEST: does the graph pass through (0,0)? Direct variation is a SPECIAL CASE of linear where c = 0.</t>
  </si>
  <si>
    <t>Interpolation, Extrapolation &amp; Model Limitations</t>
  </si>
  <si>
    <t>📘 A linear model is only as good as its assumptions. Learn where a model is reliable — and where it breaks.</t>
  </si>
  <si>
    <t>Definitions</t>
  </si>
  <si>
    <t>Term</t>
  </si>
  <si>
    <t>Reliability</t>
  </si>
  <si>
    <t>Interpolation</t>
  </si>
  <si>
    <t>Predicting a value INSIDE the range of collected data</t>
  </si>
  <si>
    <t>Generally reliable — we have data either side</t>
  </si>
  <si>
    <t>Extrapolation</t>
  </si>
  <si>
    <t>Predicting a value OUTSIDE the range of collected data</t>
  </si>
  <si>
    <t>Risky — assumes the pattern continues forever</t>
  </si>
  <si>
    <t>Case Study: Plant Growth Model</t>
  </si>
  <si>
    <t>A student measures a seedling's height weekly for 6 weeks and fits a linear model: h = 2.5w + 3</t>
  </si>
  <si>
    <t>Growth rate (m, cm/week)</t>
  </si>
  <si>
    <t>Starting height (c, cm)</t>
  </si>
  <si>
    <t>Data collected from week</t>
  </si>
  <si>
    <t>Data collected to week</t>
  </si>
  <si>
    <t>Week (w)</t>
  </si>
  <si>
    <t>Height h = 2.5w+3 (cm)</t>
  </si>
  <si>
    <t>Inside data range?</t>
  </si>
  <si>
    <t>Limitations of This Linear Model</t>
  </si>
  <si>
    <t>Week 52 prediction</t>
  </si>
  <si>
    <t>h = 2.5(52) + 3 = 133 cm. Will a seedling really grow 1.33 m in a year at a constant rate? Plants slow down, hit maximum heights, and depend on seasons.</t>
  </si>
  <si>
    <t>Negative weeks</t>
  </si>
  <si>
    <t>The model gives h = 0.5 cm at w = −1, and negative heights before that — meaningless. Models have a valid DOMAIN.</t>
  </si>
  <si>
    <t>Constant rate assumption</t>
  </si>
  <si>
    <t>Real growth varies with water, light, temperature. Linear models assume the rate NEVER changes.</t>
  </si>
  <si>
    <t>The general lesson</t>
  </si>
  <si>
    <t>A linear model is a simplification. Always ask: over what range is this model sensible?</t>
  </si>
  <si>
    <t>💡 Golden rule: interpolation = usually OK; extrapolation = state your assumptions and treat with caution.</t>
  </si>
  <si>
    <t>y = mx + b</t>
  </si>
  <si>
    <t>y-intercept (b)</t>
  </si>
  <si>
    <t>💡 Try: m negative (line slopes down), m = 0 (horizontal), b = 0 (through the origin), large m (steeper).</t>
  </si>
  <si>
    <t>Interactive Line Builder – change m and b!</t>
  </si>
  <si>
    <t>📘 Every straight line can be written as  y = mx + b.  This sheet shows how m and b control the line.</t>
  </si>
  <si>
    <t>b</t>
  </si>
  <si>
    <t>y-intercept b = y₁ − m·x₁</t>
  </si>
  <si>
    <t>Time</t>
  </si>
  <si>
    <t>Car A distance</t>
  </si>
  <si>
    <t>Car B distance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</si>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</sst>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\$#,##0"/>
    <numFmt numFmtId="166" formatCode="0.0&quot; L&quot;"/>
    <numFmt numFmtId="167" formatCode="0.0&quot; min&quot;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1"/>
      <color rgb="FF0000FF"/>
      <name val="Arial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sz val="11"/>
      <color rgb="FF0000FF"/>
      <name val="Arial"/>
      <charset val="1"/>
    </font>
    <font>
      <sz val="11"/>
      <color theme="1"/>
      <name val="Calibri"/>
      <family val="2"/>
      <charset val="1"/>
    </font>
    <font>
      <sz val="12"/>
      <color rgb="FF9C5700"/>
      <name val="Calibri"/>
      <family val="2"/>
      <scheme val="minor"/>
    </font>
    <font>
      <b/>
      <sz val="11"/>
      <color rgb="FF000000"/>
      <name val="Arial"/>
      <family val="2"/>
    </font>
    <font>
      <i/>
      <sz val="10"/>
      <color rgb="FF595959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10" fillId="10" borderId="0" applyNumberFormat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0" xfId="0" applyFont="1" applyFill="1"/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center" vertical="center" wrapText="1"/>
    </xf>
    <xf numFmtId="0" fontId="5" fillId="6" borderId="0" xfId="0" applyFont="1" applyFill="1"/>
    <xf numFmtId="0" fontId="0" fillId="6" borderId="0" xfId="0" applyFill="1" applyAlignment="1">
      <alignment horizontal="left" vertical="center" wrapText="1"/>
    </xf>
    <xf numFmtId="0" fontId="0" fillId="6" borderId="0" xfId="0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2" fontId="3" fillId="8" borderId="1" xfId="0" applyNumberFormat="1" applyFont="1" applyFill="1" applyBorder="1" applyAlignment="1">
      <alignment horizontal="center" vertical="center" wrapText="1"/>
    </xf>
    <xf numFmtId="165" fontId="8" fillId="7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" fontId="8" fillId="7" borderId="1" xfId="0" applyNumberFormat="1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2" fontId="14" fillId="8" borderId="1" xfId="0" applyNumberFormat="1" applyFont="1" applyFill="1" applyBorder="1" applyAlignment="1">
      <alignment horizontal="center" vertical="center" wrapText="1"/>
    </xf>
    <xf numFmtId="165" fontId="10" fillId="10" borderId="1" xfId="2" applyNumberFormat="1" applyBorder="1" applyAlignment="1">
      <alignment horizontal="center" vertical="center" wrapText="1"/>
    </xf>
    <xf numFmtId="43" fontId="0" fillId="0" borderId="0" xfId="1" applyFont="1"/>
    <xf numFmtId="0" fontId="12" fillId="5" borderId="0" xfId="0" applyFont="1" applyFill="1" applyAlignment="1">
      <alignment horizontal="left" vertical="center" wrapText="1"/>
    </xf>
  </cellXfs>
  <cellStyles count="3">
    <cellStyle name="Comma" xfId="1" builtinId="3"/>
    <cellStyle name="Neutral" xfId="2" builtinId="28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992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8B855"/>
      <rgbColor rgb="FFFFCC00"/>
      <rgbColor rgb="FFFF9900"/>
      <rgbColor rgb="FFFF6600"/>
      <rgbColor rgb="FF595959"/>
      <rgbColor rgb="FF87A44B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'📐 Gradient &amp; Intercept'!$C$23:$E$23</c:f>
              <c:strCache>
                <c:ptCount val="1"/>
                <c:pt idx="0">
                  <c:v>y = 3x + 5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  <a:headEnd type="triangle"/>
              <a:tailEnd type="triangle"/>
            </a:ln>
            <a:effectLst/>
          </c:spPr>
          <c:marker>
            <c:symbol val="none"/>
          </c:marker>
          <c:xVal>
            <c:numRef>
              <c:f>'📐 Gradient &amp; Intercept'!$B$26:$B$35</c:f>
              <c:numCache>
                <c:formatCode>0</c:formatCode>
                <c:ptCount val="10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</c:numCache>
            </c:numRef>
          </c:xVal>
          <c:yVal>
            <c:numRef>
              <c:f>'📐 Gradient &amp; Intercept'!$C$26:$C$35</c:f>
              <c:numCache>
                <c:formatCode>0.0</c:formatCode>
                <c:ptCount val="10"/>
                <c:pt idx="0">
                  <c:v>-4</c:v>
                </c:pt>
                <c:pt idx="1">
                  <c:v>-1</c:v>
                </c:pt>
                <c:pt idx="2">
                  <c:v>2</c:v>
                </c:pt>
                <c:pt idx="3">
                  <c:v>5</c:v>
                </c:pt>
                <c:pt idx="4">
                  <c:v>8</c:v>
                </c:pt>
                <c:pt idx="5">
                  <c:v>11</c:v>
                </c:pt>
                <c:pt idx="6">
                  <c:v>14</c:v>
                </c:pt>
                <c:pt idx="7">
                  <c:v>17</c:v>
                </c:pt>
                <c:pt idx="8">
                  <c:v>20</c:v>
                </c:pt>
                <c:pt idx="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DD-8243-9DCD-9DBF1400B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381887"/>
        <c:axId val="534387263"/>
      </c:scatterChart>
      <c:valAx>
        <c:axId val="53438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87263"/>
        <c:crosses val="autoZero"/>
        <c:crossBetween val="midCat"/>
      </c:valAx>
      <c:valAx>
        <c:axId val="53438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81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Total Cost of Picnic Hire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Total cost</c:v>
          </c:tx>
          <c:spPr>
            <a:ln w="31750">
              <a:solidFill>
                <a:srgbClr val="98B855"/>
              </a:solidFill>
              <a:round/>
              <a:tailEnd type="arrow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'🧺 Picnic Business'!$B$20:$B$28</c:f>
              <c:numCache>
                <c:formatCode>0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'🧺 Picnic Business'!$C$20:$C$28</c:f>
              <c:numCache>
                <c:formatCode>\$#,##0</c:formatCode>
                <c:ptCount val="9"/>
                <c:pt idx="0">
                  <c:v>250</c:v>
                </c:pt>
                <c:pt idx="1">
                  <c:v>370</c:v>
                </c:pt>
                <c:pt idx="2">
                  <c:v>490</c:v>
                </c:pt>
                <c:pt idx="3">
                  <c:v>610</c:v>
                </c:pt>
                <c:pt idx="4">
                  <c:v>730</c:v>
                </c:pt>
                <c:pt idx="5">
                  <c:v>850</c:v>
                </c:pt>
                <c:pt idx="6">
                  <c:v>970</c:v>
                </c:pt>
                <c:pt idx="7">
                  <c:v>1090</c:v>
                </c:pt>
                <c:pt idx="8">
                  <c:v>1210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96-E94C-A81F-F86BC45FE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0189"/>
        <c:axId val="12105034"/>
      </c:scatterChart>
      <c:valAx>
        <c:axId val="181901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Hours of hire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105034"/>
        <c:crosses val="autoZero"/>
        <c:crossBetween val="midCat"/>
      </c:valAx>
      <c:valAx>
        <c:axId val="121050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Total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19018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Distance vs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Car A</c:v>
          </c:tx>
          <c:spPr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Pt>
            <c:idx val="10"/>
            <c:bubble3D val="0"/>
            <c:spPr>
              <a:ln w="47520">
                <a:solidFill>
                  <a:srgbClr val="87A44B"/>
                </a:solidFill>
                <a:round/>
                <a:tailEnd type="arrow"/>
              </a:ln>
            </c:spPr>
            <c:extLst>
              <c:ext xmlns:c16="http://schemas.microsoft.com/office/drawing/2014/chart" uri="{C3380CC4-5D6E-409C-BE32-E72D297353CC}">
                <c16:uniqueId val="{00000000-8A2B-F94D-84B4-F676269134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'🚗 Distance &amp; Time'!$B$12:$B$22</c:f>
              <c:numCache>
                <c:formatCode>0.0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'🚗 Distance &amp; Time'!$C$12:$C$22</c:f>
              <c:numCache>
                <c:formatCode>0.0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3A-9A4B-9D34-8B4567D4E3D6}"/>
            </c:ext>
          </c:extLst>
        </c:ser>
        <c:ser>
          <c:idx val="1"/>
          <c:order val="1"/>
          <c:tx>
            <c:v>Car B</c:v>
          </c:tx>
          <c:spPr>
            <a:ln w="47520">
              <a:solidFill>
                <a:srgbClr val="B3C992"/>
              </a:solidFill>
              <a:round/>
              <a:tailEnd type="arrow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'🚗 Distance &amp; Time'!$B$12:$B$22</c:f>
              <c:numCache>
                <c:formatCode>0.0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'🚗 Distance &amp; Time'!$D$12:$D$22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30</c:v>
                </c:pt>
                <c:pt idx="3">
                  <c:v>65</c:v>
                </c:pt>
                <c:pt idx="4">
                  <c:v>100</c:v>
                </c:pt>
                <c:pt idx="5">
                  <c:v>135</c:v>
                </c:pt>
                <c:pt idx="6">
                  <c:v>170</c:v>
                </c:pt>
                <c:pt idx="7">
                  <c:v>205</c:v>
                </c:pt>
                <c:pt idx="8">
                  <c:v>240</c:v>
                </c:pt>
                <c:pt idx="9">
                  <c:v>275</c:v>
                </c:pt>
                <c:pt idx="10">
                  <c:v>310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3A-9A4B-9D34-8B4567D4E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83943"/>
        <c:axId val="7498413"/>
      </c:scatterChart>
      <c:valAx>
        <c:axId val="531839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Time (hours)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98413"/>
        <c:crosses val="autoZero"/>
        <c:crossBetween val="midCat"/>
      </c:valAx>
      <c:valAx>
        <c:axId val="74984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Distance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1839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Water Used vs Shower Time (y = kx)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Water used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'💧 Direct Variation'!$B$20:$B$26</c:f>
              <c:numCache>
                <c:formatCode>0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'💧 Direct Variation'!$C$20:$C$26</c:f>
              <c:numCache>
                <c:formatCode>0.0</c:formatCode>
                <c:ptCount val="7"/>
                <c:pt idx="0">
                  <c:v>0</c:v>
                </c:pt>
                <c:pt idx="1">
                  <c:v>18</c:v>
                </c:pt>
                <c:pt idx="2">
                  <c:v>36</c:v>
                </c:pt>
                <c:pt idx="3">
                  <c:v>54</c:v>
                </c:pt>
                <c:pt idx="4">
                  <c:v>72</c:v>
                </c:pt>
                <c:pt idx="5">
                  <c:v>90</c:v>
                </c:pt>
                <c:pt idx="6">
                  <c:v>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28-8046-92A4-97A5BEB9A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7"/>
        <c:axId val="45355535"/>
      </c:scatterChart>
      <c:valAx>
        <c:axId val="1071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355535"/>
        <c:crosses val="autoZero"/>
        <c:crossBetween val="midCat"/>
      </c:valAx>
      <c:valAx>
        <c:axId val="453555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Litres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71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Plant Height Model – where is it valid?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Modelled height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circle"/>
            <c:size val="5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'📊 Interp &amp; Extrap'!$B$18:$B$30</c:f>
              <c:numCache>
                <c:formatCode>0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'📊 Interp &amp; Extrap'!$C$18:$C$30</c:f>
              <c:numCache>
                <c:formatCode>0.0</c:formatCode>
                <c:ptCount val="13"/>
                <c:pt idx="0">
                  <c:v>3</c:v>
                </c:pt>
                <c:pt idx="1">
                  <c:v>5.5</c:v>
                </c:pt>
                <c:pt idx="2">
                  <c:v>8</c:v>
                </c:pt>
                <c:pt idx="3">
                  <c:v>10.5</c:v>
                </c:pt>
                <c:pt idx="4">
                  <c:v>13</c:v>
                </c:pt>
                <c:pt idx="5">
                  <c:v>15.5</c:v>
                </c:pt>
                <c:pt idx="6">
                  <c:v>18</c:v>
                </c:pt>
                <c:pt idx="7">
                  <c:v>20.5</c:v>
                </c:pt>
                <c:pt idx="8">
                  <c:v>23</c:v>
                </c:pt>
                <c:pt idx="9">
                  <c:v>25.5</c:v>
                </c:pt>
                <c:pt idx="10">
                  <c:v>28</c:v>
                </c:pt>
                <c:pt idx="11">
                  <c:v>30.5</c:v>
                </c:pt>
                <c:pt idx="12">
                  <c:v>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14-C040-8F91-0D5BDE2C9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00199"/>
        <c:axId val="33955356"/>
      </c:scatterChart>
      <c:valAx>
        <c:axId val="775001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955356"/>
        <c:crosses val="autoZero"/>
        <c:crossBetween val="midCat"/>
      </c:valAx>
      <c:valAx>
        <c:axId val="33955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Height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50019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321733</xdr:colOff>
      <xdr:row>6</xdr:row>
      <xdr:rowOff>520699</xdr:rowOff>
    </xdr:from>
    <xdr:to>
      <xdr:col>15</xdr:col>
      <xdr:colOff>270933</xdr:colOff>
      <xdr:row>18</xdr:row>
      <xdr:rowOff>173566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1E94B5-A544-6586-3FD7-AB777F529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241300</xdr:colOff>
      <xdr:row>0</xdr:row>
      <xdr:rowOff>319360</xdr:rowOff>
    </xdr:from>
    <xdr:to>
      <xdr:col>18</xdr:col>
      <xdr:colOff>132300</xdr:colOff>
      <xdr:row>15</xdr:row>
      <xdr:rowOff>109781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434622</xdr:colOff>
      <xdr:row>2</xdr:row>
      <xdr:rowOff>30985</xdr:rowOff>
    </xdr:from>
    <xdr:to>
      <xdr:col>17</xdr:col>
      <xdr:colOff>286342</xdr:colOff>
      <xdr:row>17</xdr:row>
      <xdr:rowOff>89805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2</xdr:row>
      <xdr:rowOff>127860</xdr:rowOff>
    </xdr:from>
    <xdr:to>
      <xdr:col>15</xdr:col>
      <xdr:colOff>654921</xdr:colOff>
      <xdr:row>14</xdr:row>
      <xdr:rowOff>69160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254000</xdr:colOff>
      <xdr:row>1</xdr:row>
      <xdr:rowOff>181820</xdr:rowOff>
    </xdr:from>
    <xdr:to>
      <xdr:col>14</xdr:col>
      <xdr:colOff>642840</xdr:colOff>
      <xdr:row>15</xdr:row>
      <xdr:rowOff>2500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307474</xdr:colOff>
      <xdr:row>8</xdr:row>
      <xdr:rowOff>207211</xdr:rowOff>
    </xdr:from>
    <xdr:to>
      <xdr:col>9</xdr:col>
      <xdr:colOff>307474</xdr:colOff>
      <xdr:row>12</xdr:row>
      <xdr:rowOff>6684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C858B82-6C11-55AC-018D-19A440D91783}"/>
            </a:ext>
          </a:extLst>
        </xdr:cNvPr>
        <xdr:cNvCxnSpPr/>
      </xdr:nvCxnSpPr>
      <xdr:spPr>
        <a:xfrm flipV="1">
          <a:off x="9391316" y="2286000"/>
          <a:ext cx="0" cy="648368"/>
        </a:xfrm>
        <a:prstGeom prst="line">
          <a:avLst/>
        </a:prstGeom>
        <a:ln>
          <a:solidFill>
            <a:schemeClr val="accent6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260684</xdr:colOff>
      <xdr:row>8</xdr:row>
      <xdr:rowOff>220579</xdr:rowOff>
    </xdr:from>
    <xdr:to>
      <xdr:col>9</xdr:col>
      <xdr:colOff>287421</xdr:colOff>
      <xdr:row>8</xdr:row>
      <xdr:rowOff>220579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A1B6079-44D1-BB49-CA70-49C0679A4944}"/>
            </a:ext>
          </a:extLst>
        </xdr:cNvPr>
        <xdr:cNvCxnSpPr/>
      </xdr:nvCxnSpPr>
      <xdr:spPr>
        <a:xfrm>
          <a:off x="8682789" y="2299368"/>
          <a:ext cx="688474" cy="0"/>
        </a:xfrm>
        <a:prstGeom prst="line">
          <a:avLst/>
        </a:prstGeom>
        <a:ln>
          <a:solidFill>
            <a:schemeClr val="accent6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534737</xdr:colOff>
      <xdr:row>2</xdr:row>
      <xdr:rowOff>147052</xdr:rowOff>
    </xdr:from>
    <xdr:to>
      <xdr:col>12</xdr:col>
      <xdr:colOff>601579</xdr:colOff>
      <xdr:row>4</xdr:row>
      <xdr:rowOff>180473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F3D6402-2AC7-BDAC-0D8C-B8168AB0A5D6}"/>
            </a:ext>
          </a:extLst>
        </xdr:cNvPr>
        <xdr:cNvCxnSpPr/>
      </xdr:nvCxnSpPr>
      <xdr:spPr>
        <a:xfrm flipV="1">
          <a:off x="10942053" y="721894"/>
          <a:ext cx="728579" cy="494632"/>
        </a:xfrm>
        <a:prstGeom prst="line">
          <a:avLst/>
        </a:prstGeom>
        <a:ln>
          <a:solidFill>
            <a:schemeClr val="accent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46790</xdr:colOff>
      <xdr:row>4</xdr:row>
      <xdr:rowOff>73526</xdr:rowOff>
    </xdr:from>
    <xdr:to>
      <xdr:col>12</xdr:col>
      <xdr:colOff>46790</xdr:colOff>
      <xdr:row>11</xdr:row>
      <xdr:rowOff>187158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B09DCC3-6720-1248-A5D2-DD980A6AD554}"/>
            </a:ext>
          </a:extLst>
        </xdr:cNvPr>
        <xdr:cNvCxnSpPr/>
      </xdr:nvCxnSpPr>
      <xdr:spPr>
        <a:xfrm flipV="1">
          <a:off x="11115843" y="1109579"/>
          <a:ext cx="0" cy="1811421"/>
        </a:xfrm>
        <a:prstGeom prst="line">
          <a:avLst/>
        </a:prstGeom>
        <a:ln>
          <a:solidFill>
            <a:schemeClr val="accent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280737</xdr:colOff>
      <xdr:row>4</xdr:row>
      <xdr:rowOff>66842</xdr:rowOff>
    </xdr:from>
    <xdr:to>
      <xdr:col>12</xdr:col>
      <xdr:colOff>13369</xdr:colOff>
      <xdr:row>4</xdr:row>
      <xdr:rowOff>66842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9C2F0AF-5B76-8341-AB8F-410DB47CD9F9}"/>
            </a:ext>
          </a:extLst>
        </xdr:cNvPr>
        <xdr:cNvCxnSpPr/>
      </xdr:nvCxnSpPr>
      <xdr:spPr>
        <a:xfrm>
          <a:off x="8702842" y="1102895"/>
          <a:ext cx="2379580" cy="0"/>
        </a:xfrm>
        <a:prstGeom prst="line">
          <a:avLst/>
        </a:prstGeom>
        <a:ln>
          <a:solidFill>
            <a:schemeClr val="accent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307474</xdr:colOff>
      <xdr:row>10</xdr:row>
      <xdr:rowOff>113632</xdr:rowOff>
    </xdr:from>
    <xdr:ext cx="934423" cy="26443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118AB42-9D3F-C6AE-0AB3-03A62FE78BA8}"/>
            </a:ext>
          </a:extLst>
        </xdr:cNvPr>
        <xdr:cNvSpPr txBox="1"/>
      </xdr:nvSpPr>
      <xdr:spPr>
        <a:xfrm>
          <a:off x="9391316" y="2653632"/>
          <a:ext cx="934423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chemeClr val="accent6"/>
              </a:solidFill>
            </a:rPr>
            <a:t>interpolation</a:t>
          </a:r>
        </a:p>
      </xdr:txBody>
    </xdr:sp>
    <xdr:clientData/>
  </xdr:oneCellAnchor>
  <xdr:oneCellAnchor>
    <xdr:from>
      <xdr:col>12</xdr:col>
      <xdr:colOff>100262</xdr:colOff>
      <xdr:row>9</xdr:row>
      <xdr:rowOff>106948</xdr:rowOff>
    </xdr:from>
    <xdr:ext cx="956609" cy="26443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8A148B6-5AAE-1347-80EA-3B62D200FF6B}"/>
            </a:ext>
          </a:extLst>
        </xdr:cNvPr>
        <xdr:cNvSpPr txBox="1"/>
      </xdr:nvSpPr>
      <xdr:spPr>
        <a:xfrm>
          <a:off x="11169315" y="2453106"/>
          <a:ext cx="956609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>
              <a:solidFill>
                <a:srgbClr val="0070C0"/>
              </a:solidFill>
            </a:rPr>
            <a:t>extrapolation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240" zoomScaleNormal="240" workbookViewId="0">
      <selection activeCell="R33" sqref="R33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3" width="46" customWidth="1"/>
    <col min="4" max="4" width="12" customWidth="1"/>
    <col min="5" max="5" width="3" customWidth="1"/>
  </cols>
  <sheetData>
    <row r="1" spans="1:4" ht="30" customHeight="1" x14ac:dyDescent="0.2">
      <c r="A1" s="26" t="s">
        <v>0</v>
      </c>
      <c r="B1" s="26"/>
      <c r="C1" s="26"/>
      <c r="D1" s="26"/>
    </row>
    <row r="2" spans="1:4" ht="30" customHeight="1" x14ac:dyDescent="0.2">
      <c r="A2" s="27" t="s">
        <v>1</v>
      </c>
      <c r="B2" s="27"/>
      <c r="C2" s="27"/>
      <c r="D2" s="27"/>
    </row>
    <row r="4" spans="1:4" x14ac:dyDescent="0.2">
      <c r="B4" s="1" t="s">
        <v>2</v>
      </c>
    </row>
    <row r="5" spans="1:4" ht="15" customHeight="1" x14ac:dyDescent="0.2">
      <c r="B5" s="25" t="s">
        <v>3</v>
      </c>
      <c r="C5" s="25"/>
      <c r="D5" s="25"/>
    </row>
    <row r="6" spans="1:4" ht="15" customHeight="1" x14ac:dyDescent="0.2">
      <c r="B6" s="25" t="s">
        <v>4</v>
      </c>
      <c r="C6" s="25"/>
      <c r="D6" s="25"/>
    </row>
    <row r="7" spans="1:4" ht="15" customHeight="1" x14ac:dyDescent="0.2">
      <c r="B7" s="25" t="s">
        <v>5</v>
      </c>
      <c r="C7" s="25"/>
      <c r="D7" s="25"/>
    </row>
    <row r="8" spans="1:4" ht="15" customHeight="1" x14ac:dyDescent="0.2">
      <c r="B8" s="25" t="s">
        <v>6</v>
      </c>
      <c r="C8" s="25"/>
      <c r="D8" s="25"/>
    </row>
    <row r="10" spans="1:4" x14ac:dyDescent="0.2">
      <c r="B10" s="2" t="s">
        <v>7</v>
      </c>
      <c r="C10" s="2" t="s">
        <v>8</v>
      </c>
      <c r="D10" s="2" t="s">
        <v>9</v>
      </c>
    </row>
    <row r="11" spans="1:4" ht="32" x14ac:dyDescent="0.2">
      <c r="B11" s="3" t="s">
        <v>10</v>
      </c>
      <c r="C11" s="4" t="s">
        <v>11</v>
      </c>
      <c r="D11" s="5" t="s">
        <v>12</v>
      </c>
    </row>
    <row r="12" spans="1:4" ht="16" x14ac:dyDescent="0.2">
      <c r="B12" s="6" t="s">
        <v>13</v>
      </c>
      <c r="C12" s="7" t="s">
        <v>14</v>
      </c>
      <c r="D12" s="8" t="s">
        <v>12</v>
      </c>
    </row>
    <row r="13" spans="1:4" ht="32" x14ac:dyDescent="0.2">
      <c r="B13" s="3" t="s">
        <v>15</v>
      </c>
      <c r="C13" s="4" t="s">
        <v>16</v>
      </c>
      <c r="D13" s="5" t="s">
        <v>17</v>
      </c>
    </row>
    <row r="14" spans="1:4" ht="16" x14ac:dyDescent="0.2">
      <c r="B14" s="6" t="s">
        <v>18</v>
      </c>
      <c r="C14" s="7" t="s">
        <v>19</v>
      </c>
      <c r="D14" s="8" t="s">
        <v>17</v>
      </c>
    </row>
    <row r="15" spans="1:4" ht="32" x14ac:dyDescent="0.2">
      <c r="B15" s="3" t="s">
        <v>20</v>
      </c>
      <c r="C15" s="4" t="s">
        <v>21</v>
      </c>
      <c r="D15" s="5" t="s">
        <v>22</v>
      </c>
    </row>
  </sheetData>
  <mergeCells count="6">
    <mergeCell ref="B8:D8"/>
    <mergeCell ref="A1:D1"/>
    <mergeCell ref="A2:D2"/>
    <mergeCell ref="B5:D5"/>
    <mergeCell ref="B6:D6"/>
    <mergeCell ref="B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zoomScale="150" zoomScaleNormal="210" workbookViewId="0">
      <selection activeCell="Q7" sqref="Q7"/>
    </sheetView>
  </sheetViews>
  <sheetFormatPr baseColWidth="10" defaultColWidth="8.6640625" defaultRowHeight="15" x14ac:dyDescent="0.2"/>
  <cols>
    <col min="1" max="1" width="3" customWidth="1"/>
    <col min="2" max="2" width="26" customWidth="1"/>
    <col min="3" max="5" width="16" customWidth="1"/>
    <col min="6" max="6" width="24" customWidth="1"/>
    <col min="7" max="7" width="3" customWidth="1"/>
  </cols>
  <sheetData>
    <row r="1" spans="1:6" ht="30" customHeight="1" x14ac:dyDescent="0.2">
      <c r="A1" s="32" t="s">
        <v>23</v>
      </c>
      <c r="B1" s="32"/>
      <c r="C1" s="32"/>
      <c r="D1" s="32"/>
      <c r="E1" s="32"/>
      <c r="F1" s="32"/>
    </row>
    <row r="2" spans="1:6" ht="15" customHeight="1" x14ac:dyDescent="0.2">
      <c r="A2" s="40" t="s">
        <v>199</v>
      </c>
      <c r="B2" s="33"/>
      <c r="C2" s="33"/>
      <c r="D2" s="33"/>
      <c r="E2" s="33"/>
      <c r="F2" s="33"/>
    </row>
    <row r="4" spans="1:6" ht="21.75" customHeight="1" x14ac:dyDescent="0.2">
      <c r="A4" s="28" t="s">
        <v>24</v>
      </c>
      <c r="B4" s="28"/>
      <c r="C4" s="28"/>
      <c r="D4" s="28"/>
      <c r="E4" s="28"/>
      <c r="F4" s="28"/>
    </row>
    <row r="5" spans="1:6" x14ac:dyDescent="0.2">
      <c r="B5" s="2" t="s">
        <v>25</v>
      </c>
      <c r="C5" s="2" t="s">
        <v>26</v>
      </c>
      <c r="D5" s="2" t="s">
        <v>27</v>
      </c>
      <c r="E5" s="2" t="s">
        <v>28</v>
      </c>
      <c r="F5" s="2"/>
    </row>
    <row r="6" spans="1:6" ht="65" customHeight="1" x14ac:dyDescent="0.2">
      <c r="B6" s="9" t="s">
        <v>29</v>
      </c>
      <c r="C6" s="10" t="s">
        <v>30</v>
      </c>
      <c r="D6" s="11" t="s">
        <v>31</v>
      </c>
      <c r="E6" s="25" t="s">
        <v>32</v>
      </c>
      <c r="F6" s="25"/>
    </row>
    <row r="7" spans="1:6" ht="52.25" customHeight="1" x14ac:dyDescent="0.2">
      <c r="B7" s="9" t="s">
        <v>33</v>
      </c>
      <c r="C7" s="36" t="s">
        <v>200</v>
      </c>
      <c r="D7" s="11" t="s">
        <v>34</v>
      </c>
      <c r="E7" s="25" t="s">
        <v>35</v>
      </c>
      <c r="F7" s="25"/>
    </row>
    <row r="9" spans="1:6" ht="21.75" customHeight="1" x14ac:dyDescent="0.2">
      <c r="A9" s="28" t="s">
        <v>36</v>
      </c>
      <c r="B9" s="28"/>
      <c r="C9" s="28"/>
      <c r="D9" s="28"/>
      <c r="E9" s="28"/>
      <c r="F9" s="28"/>
    </row>
    <row r="10" spans="1:6" x14ac:dyDescent="0.2">
      <c r="B10" s="2" t="s">
        <v>37</v>
      </c>
      <c r="C10" s="2" t="s">
        <v>38</v>
      </c>
      <c r="D10" s="2" t="s">
        <v>39</v>
      </c>
      <c r="E10" s="2" t="s">
        <v>40</v>
      </c>
      <c r="F10" s="2"/>
    </row>
    <row r="11" spans="1:6" ht="15" customHeight="1" x14ac:dyDescent="0.2">
      <c r="B11" s="10" t="s">
        <v>41</v>
      </c>
      <c r="C11" s="11" t="s">
        <v>42</v>
      </c>
      <c r="D11" s="11" t="s">
        <v>43</v>
      </c>
      <c r="E11" s="25" t="s">
        <v>44</v>
      </c>
      <c r="F11" s="25"/>
    </row>
    <row r="12" spans="1:6" ht="15" customHeight="1" x14ac:dyDescent="0.2">
      <c r="B12" s="10" t="s">
        <v>45</v>
      </c>
      <c r="C12" s="11" t="s">
        <v>46</v>
      </c>
      <c r="D12" s="11" t="s">
        <v>47</v>
      </c>
      <c r="E12" s="25" t="s">
        <v>48</v>
      </c>
      <c r="F12" s="25"/>
    </row>
    <row r="13" spans="1:6" ht="26.75" customHeight="1" x14ac:dyDescent="0.2">
      <c r="B13" s="10" t="s">
        <v>49</v>
      </c>
      <c r="C13" s="11" t="s">
        <v>50</v>
      </c>
      <c r="D13" s="11" t="s">
        <v>51</v>
      </c>
      <c r="E13" s="25" t="s">
        <v>52</v>
      </c>
      <c r="F13" s="25"/>
    </row>
    <row r="14" spans="1:6" ht="15" customHeight="1" x14ac:dyDescent="0.2">
      <c r="B14" s="10" t="s">
        <v>53</v>
      </c>
      <c r="C14" s="11" t="s">
        <v>54</v>
      </c>
      <c r="D14" s="11" t="s">
        <v>55</v>
      </c>
      <c r="E14" s="25" t="s">
        <v>56</v>
      </c>
      <c r="F14" s="25"/>
    </row>
    <row r="15" spans="1:6" ht="15" customHeight="1" x14ac:dyDescent="0.2">
      <c r="B15" s="10" t="s">
        <v>57</v>
      </c>
      <c r="C15" s="11" t="s">
        <v>51</v>
      </c>
      <c r="D15" s="11" t="s">
        <v>58</v>
      </c>
      <c r="E15" s="25" t="s">
        <v>59</v>
      </c>
      <c r="F15" s="25"/>
    </row>
    <row r="17" spans="1:6" ht="21.75" customHeight="1" x14ac:dyDescent="0.2">
      <c r="A17" s="39" t="s">
        <v>198</v>
      </c>
      <c r="B17" s="28"/>
      <c r="C17" s="28"/>
      <c r="D17" s="28"/>
      <c r="E17" s="28"/>
      <c r="F17" s="28"/>
    </row>
    <row r="18" spans="1:6" ht="15" customHeight="1" x14ac:dyDescent="0.2">
      <c r="A18" s="30" t="s">
        <v>60</v>
      </c>
      <c r="B18" s="30"/>
      <c r="C18" s="30"/>
      <c r="D18" s="30"/>
      <c r="E18" s="30"/>
      <c r="F18" s="30"/>
    </row>
    <row r="19" spans="1:6" x14ac:dyDescent="0.2">
      <c r="B19" s="2" t="s">
        <v>61</v>
      </c>
      <c r="C19" s="2" t="s">
        <v>62</v>
      </c>
      <c r="D19" s="2"/>
      <c r="E19" s="2"/>
      <c r="F19" s="2"/>
    </row>
    <row r="20" spans="1:6" x14ac:dyDescent="0.2">
      <c r="B20" s="10" t="s">
        <v>63</v>
      </c>
      <c r="C20" s="12">
        <v>3</v>
      </c>
    </row>
    <row r="21" spans="1:6" x14ac:dyDescent="0.2">
      <c r="B21" s="36" t="s">
        <v>196</v>
      </c>
      <c r="C21" s="12">
        <v>5</v>
      </c>
    </row>
    <row r="23" spans="1:6" x14ac:dyDescent="0.2">
      <c r="B23" s="10" t="s">
        <v>64</v>
      </c>
      <c r="C23" s="35" t="str">
        <f>"y = " &amp; C20 &amp; "x + " &amp; C21</f>
        <v>y = 3x + 5</v>
      </c>
      <c r="D23" s="31"/>
      <c r="E23" s="31"/>
    </row>
    <row r="25" spans="1:6" x14ac:dyDescent="0.2">
      <c r="B25" s="2" t="s">
        <v>65</v>
      </c>
      <c r="C25" s="37" t="s">
        <v>195</v>
      </c>
      <c r="D25" s="2"/>
      <c r="E25" s="2"/>
      <c r="F25" s="2"/>
    </row>
    <row r="26" spans="1:6" x14ac:dyDescent="0.2">
      <c r="B26" s="13">
        <v>-3</v>
      </c>
      <c r="C26" s="14">
        <f>$C$20*B26+$C$21</f>
        <v>-4</v>
      </c>
    </row>
    <row r="27" spans="1:6" x14ac:dyDescent="0.2">
      <c r="B27" s="13">
        <v>-2</v>
      </c>
      <c r="C27" s="14">
        <f t="shared" ref="C27:C35" si="0">$C$20*B27+$C$21</f>
        <v>-1</v>
      </c>
    </row>
    <row r="28" spans="1:6" x14ac:dyDescent="0.2">
      <c r="B28" s="13">
        <v>-1</v>
      </c>
      <c r="C28" s="14">
        <f t="shared" si="0"/>
        <v>2</v>
      </c>
    </row>
    <row r="29" spans="1:6" x14ac:dyDescent="0.2">
      <c r="B29" s="13">
        <v>0</v>
      </c>
      <c r="C29" s="14">
        <f t="shared" si="0"/>
        <v>5</v>
      </c>
    </row>
    <row r="30" spans="1:6" x14ac:dyDescent="0.2">
      <c r="B30" s="13">
        <v>1</v>
      </c>
      <c r="C30" s="14">
        <f t="shared" si="0"/>
        <v>8</v>
      </c>
    </row>
    <row r="31" spans="1:6" x14ac:dyDescent="0.2">
      <c r="B31" s="13">
        <v>2</v>
      </c>
      <c r="C31" s="14">
        <f t="shared" si="0"/>
        <v>11</v>
      </c>
    </row>
    <row r="32" spans="1:6" x14ac:dyDescent="0.2">
      <c r="B32" s="13">
        <v>3</v>
      </c>
      <c r="C32" s="14">
        <f t="shared" si="0"/>
        <v>14</v>
      </c>
    </row>
    <row r="33" spans="1:6" x14ac:dyDescent="0.2">
      <c r="B33" s="13">
        <v>4</v>
      </c>
      <c r="C33" s="14">
        <f t="shared" si="0"/>
        <v>17</v>
      </c>
    </row>
    <row r="34" spans="1:6" x14ac:dyDescent="0.2">
      <c r="B34" s="13">
        <v>5</v>
      </c>
      <c r="C34" s="14">
        <f t="shared" si="0"/>
        <v>20</v>
      </c>
    </row>
    <row r="35" spans="1:6" x14ac:dyDescent="0.2">
      <c r="B35" s="13">
        <v>6</v>
      </c>
      <c r="C35" s="14">
        <f t="shared" si="0"/>
        <v>23</v>
      </c>
    </row>
    <row r="37" spans="1:6" ht="15" customHeight="1" x14ac:dyDescent="0.2">
      <c r="A37" s="38" t="s">
        <v>197</v>
      </c>
      <c r="B37" s="30"/>
      <c r="C37" s="30"/>
      <c r="D37" s="30"/>
      <c r="E37" s="30"/>
      <c r="F37" s="30"/>
    </row>
    <row r="39" spans="1:6" ht="21.75" customHeight="1" x14ac:dyDescent="0.2">
      <c r="A39" s="28" t="s">
        <v>66</v>
      </c>
      <c r="B39" s="28"/>
      <c r="C39" s="28"/>
      <c r="D39" s="28"/>
      <c r="E39" s="28"/>
      <c r="F39" s="28"/>
    </row>
    <row r="40" spans="1:6" ht="15" customHeight="1" x14ac:dyDescent="0.2">
      <c r="A40" s="29" t="s">
        <v>67</v>
      </c>
      <c r="B40" s="29"/>
      <c r="C40" s="29"/>
      <c r="D40" s="29"/>
      <c r="E40" s="29"/>
      <c r="F40" s="29"/>
    </row>
    <row r="41" spans="1:6" x14ac:dyDescent="0.2">
      <c r="B41" s="2" t="s">
        <v>68</v>
      </c>
      <c r="C41" s="2" t="s">
        <v>65</v>
      </c>
      <c r="D41" s="2" t="s">
        <v>69</v>
      </c>
      <c r="E41" s="2"/>
      <c r="F41" s="2"/>
    </row>
    <row r="42" spans="1:6" x14ac:dyDescent="0.2">
      <c r="B42" s="10" t="s">
        <v>70</v>
      </c>
      <c r="C42" s="12">
        <v>-1</v>
      </c>
      <c r="D42" s="12">
        <v>3</v>
      </c>
    </row>
    <row r="43" spans="1:6" x14ac:dyDescent="0.2">
      <c r="B43" s="10" t="s">
        <v>71</v>
      </c>
      <c r="C43" s="12">
        <v>4</v>
      </c>
      <c r="D43" s="12">
        <v>13</v>
      </c>
    </row>
    <row r="44" spans="1:6" x14ac:dyDescent="0.2">
      <c r="B44" s="11" t="s">
        <v>72</v>
      </c>
      <c r="C44" s="14">
        <f>D43-D42</f>
        <v>10</v>
      </c>
    </row>
    <row r="45" spans="1:6" x14ac:dyDescent="0.2">
      <c r="B45" s="11" t="s">
        <v>73</v>
      </c>
      <c r="C45" s="14">
        <f>C43-C42</f>
        <v>5</v>
      </c>
    </row>
    <row r="46" spans="1:6" x14ac:dyDescent="0.2">
      <c r="B46" s="15" t="s">
        <v>74</v>
      </c>
      <c r="C46" s="16">
        <f>IFERROR(C44/C45, "undefined")</f>
        <v>2</v>
      </c>
    </row>
    <row r="47" spans="1:6" ht="28" x14ac:dyDescent="0.2">
      <c r="B47" s="41" t="s">
        <v>201</v>
      </c>
      <c r="C47" s="42">
        <f>IFERROR(D42-C46*C42, "no y-intercept exists")</f>
        <v>5</v>
      </c>
    </row>
  </sheetData>
  <mergeCells count="17">
    <mergeCell ref="A1:F1"/>
    <mergeCell ref="A2:F2"/>
    <mergeCell ref="A4:F4"/>
    <mergeCell ref="E6:F6"/>
    <mergeCell ref="E7:F7"/>
    <mergeCell ref="A9:F9"/>
    <mergeCell ref="E11:F11"/>
    <mergeCell ref="E12:F12"/>
    <mergeCell ref="E13:F13"/>
    <mergeCell ref="E14:F14"/>
    <mergeCell ref="A39:F39"/>
    <mergeCell ref="A40:F40"/>
    <mergeCell ref="E15:F15"/>
    <mergeCell ref="A17:F17"/>
    <mergeCell ref="A18:F18"/>
    <mergeCell ref="C23:E23"/>
    <mergeCell ref="A37:F3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zoomScale="185" zoomScaleNormal="100" workbookViewId="0">
      <selection activeCell="M18" sqref="M18"/>
    </sheetView>
  </sheetViews>
  <sheetFormatPr baseColWidth="10" defaultColWidth="8.6640625" defaultRowHeight="15" x14ac:dyDescent="0.2"/>
  <cols>
    <col min="1" max="1" width="3" customWidth="1"/>
    <col min="2" max="2" width="24" customWidth="1"/>
    <col min="3" max="8" width="14" customWidth="1"/>
    <col min="9" max="9" width="3" customWidth="1"/>
  </cols>
  <sheetData>
    <row r="1" spans="1:8" ht="30" customHeight="1" x14ac:dyDescent="0.2">
      <c r="A1" s="32" t="s">
        <v>75</v>
      </c>
      <c r="B1" s="32"/>
      <c r="C1" s="32"/>
      <c r="D1" s="32"/>
      <c r="E1" s="32"/>
      <c r="F1" s="32"/>
      <c r="G1" s="32"/>
      <c r="H1" s="32"/>
    </row>
    <row r="2" spans="1:8" ht="15" customHeight="1" x14ac:dyDescent="0.2">
      <c r="A2" s="33" t="s">
        <v>76</v>
      </c>
      <c r="B2" s="33"/>
      <c r="C2" s="33"/>
      <c r="D2" s="33"/>
      <c r="E2" s="33"/>
      <c r="F2" s="33"/>
      <c r="G2" s="33"/>
      <c r="H2" s="33"/>
    </row>
    <row r="4" spans="1:8" ht="21.75" customHeight="1" x14ac:dyDescent="0.2">
      <c r="A4" s="28" t="s">
        <v>77</v>
      </c>
      <c r="B4" s="28"/>
      <c r="C4" s="28"/>
      <c r="D4" s="28"/>
      <c r="E4" s="28"/>
      <c r="F4" s="28"/>
      <c r="G4" s="28"/>
      <c r="H4" s="28"/>
    </row>
    <row r="5" spans="1:8" x14ac:dyDescent="0.2">
      <c r="B5" s="2" t="s">
        <v>78</v>
      </c>
      <c r="C5" s="2" t="s">
        <v>79</v>
      </c>
      <c r="D5" s="2"/>
      <c r="E5" s="2"/>
      <c r="F5" s="2"/>
      <c r="G5" s="2"/>
      <c r="H5" s="2"/>
    </row>
    <row r="6" spans="1:8" ht="16" x14ac:dyDescent="0.2">
      <c r="B6" s="11" t="s">
        <v>80</v>
      </c>
      <c r="C6" s="43">
        <v>50</v>
      </c>
    </row>
    <row r="7" spans="1:8" ht="16" x14ac:dyDescent="0.2">
      <c r="B7" s="11" t="s">
        <v>81</v>
      </c>
      <c r="C7" s="43">
        <v>200</v>
      </c>
    </row>
    <row r="8" spans="1:8" x14ac:dyDescent="0.2">
      <c r="B8" s="11" t="s">
        <v>82</v>
      </c>
      <c r="C8" s="17">
        <v>120</v>
      </c>
    </row>
    <row r="9" spans="1:8" ht="30" x14ac:dyDescent="0.2">
      <c r="B9" s="15" t="s">
        <v>83</v>
      </c>
      <c r="C9" s="43">
        <f>C6+C7</f>
        <v>250</v>
      </c>
    </row>
    <row r="10" spans="1:8" x14ac:dyDescent="0.2">
      <c r="B10" s="10" t="s">
        <v>84</v>
      </c>
      <c r="C10" s="31" t="str">
        <f>"C = "&amp;TEXT(C8,"0")&amp;"n + "&amp;TEXT(C9,"0")</f>
        <v>C = 120n + 250</v>
      </c>
      <c r="D10" s="31"/>
      <c r="E10" s="31"/>
      <c r="F10" s="31"/>
    </row>
    <row r="12" spans="1:8" ht="15" customHeight="1" x14ac:dyDescent="0.2">
      <c r="A12" s="30" t="s">
        <v>85</v>
      </c>
      <c r="B12" s="30"/>
      <c r="C12" s="30"/>
      <c r="D12" s="30"/>
      <c r="E12" s="30"/>
      <c r="F12" s="30"/>
      <c r="G12" s="30"/>
      <c r="H12" s="30"/>
    </row>
    <row r="14" spans="1:8" ht="21.75" customHeight="1" x14ac:dyDescent="0.2">
      <c r="A14" s="28" t="s">
        <v>86</v>
      </c>
      <c r="B14" s="28"/>
      <c r="C14" s="28"/>
      <c r="D14" s="28"/>
      <c r="E14" s="28"/>
      <c r="F14" s="28"/>
      <c r="G14" s="28"/>
      <c r="H14" s="28"/>
    </row>
    <row r="15" spans="1:8" x14ac:dyDescent="0.2">
      <c r="B15" s="2" t="s">
        <v>87</v>
      </c>
      <c r="C15" s="2" t="s">
        <v>51</v>
      </c>
      <c r="D15" s="2" t="s">
        <v>50</v>
      </c>
      <c r="E15" s="2" t="s">
        <v>43</v>
      </c>
      <c r="F15" s="2" t="s">
        <v>42</v>
      </c>
      <c r="G15" s="2" t="s">
        <v>88</v>
      </c>
      <c r="H15" s="2" t="s">
        <v>47</v>
      </c>
    </row>
    <row r="16" spans="1:8" x14ac:dyDescent="0.2">
      <c r="B16" s="10" t="s">
        <v>89</v>
      </c>
      <c r="C16" s="18">
        <f t="shared" ref="C16:H16" si="0">$C$8*C15+$C$9</f>
        <v>250</v>
      </c>
      <c r="D16" s="18">
        <f t="shared" si="0"/>
        <v>370</v>
      </c>
      <c r="E16" s="18">
        <f t="shared" si="0"/>
        <v>490</v>
      </c>
      <c r="F16" s="18">
        <f t="shared" si="0"/>
        <v>610</v>
      </c>
      <c r="G16" s="18">
        <f t="shared" si="0"/>
        <v>730</v>
      </c>
      <c r="H16" s="18">
        <f t="shared" si="0"/>
        <v>850</v>
      </c>
    </row>
    <row r="18" spans="1:8" ht="21.75" customHeight="1" x14ac:dyDescent="0.2">
      <c r="A18" s="28" t="s">
        <v>90</v>
      </c>
      <c r="B18" s="28"/>
      <c r="C18" s="28"/>
      <c r="D18" s="28"/>
      <c r="E18" s="28"/>
      <c r="F18" s="28"/>
      <c r="G18" s="28"/>
      <c r="H18" s="28"/>
    </row>
    <row r="19" spans="1:8" x14ac:dyDescent="0.2">
      <c r="B19" s="2" t="s">
        <v>91</v>
      </c>
      <c r="C19" s="2" t="s">
        <v>92</v>
      </c>
      <c r="D19" s="2"/>
      <c r="E19" s="2"/>
      <c r="F19" s="2"/>
      <c r="G19" s="2"/>
      <c r="H19" s="2"/>
    </row>
    <row r="20" spans="1:8" x14ac:dyDescent="0.2">
      <c r="B20" s="13">
        <v>0</v>
      </c>
      <c r="C20" s="18">
        <f t="shared" ref="C20:C28" si="1">$C$8*B20+$C$9</f>
        <v>250</v>
      </c>
    </row>
    <row r="21" spans="1:8" x14ac:dyDescent="0.2">
      <c r="B21" s="13">
        <v>1</v>
      </c>
      <c r="C21" s="18">
        <f t="shared" si="1"/>
        <v>370</v>
      </c>
    </row>
    <row r="22" spans="1:8" x14ac:dyDescent="0.2">
      <c r="B22" s="13">
        <v>2</v>
      </c>
      <c r="C22" s="18">
        <f t="shared" si="1"/>
        <v>490</v>
      </c>
    </row>
    <row r="23" spans="1:8" x14ac:dyDescent="0.2">
      <c r="B23" s="13">
        <v>3</v>
      </c>
      <c r="C23" s="18">
        <f t="shared" si="1"/>
        <v>610</v>
      </c>
    </row>
    <row r="24" spans="1:8" x14ac:dyDescent="0.2">
      <c r="B24" s="13">
        <v>4</v>
      </c>
      <c r="C24" s="18">
        <f t="shared" si="1"/>
        <v>730</v>
      </c>
    </row>
    <row r="25" spans="1:8" x14ac:dyDescent="0.2">
      <c r="B25" s="13">
        <v>5</v>
      </c>
      <c r="C25" s="18">
        <f t="shared" si="1"/>
        <v>850</v>
      </c>
    </row>
    <row r="26" spans="1:8" x14ac:dyDescent="0.2">
      <c r="B26" s="13">
        <v>6</v>
      </c>
      <c r="C26" s="18">
        <f t="shared" si="1"/>
        <v>970</v>
      </c>
    </row>
    <row r="27" spans="1:8" x14ac:dyDescent="0.2">
      <c r="B27" s="13">
        <v>7</v>
      </c>
      <c r="C27" s="18">
        <f t="shared" si="1"/>
        <v>1090</v>
      </c>
    </row>
    <row r="28" spans="1:8" x14ac:dyDescent="0.2">
      <c r="B28" s="13">
        <v>8</v>
      </c>
      <c r="C28" s="18">
        <f t="shared" si="1"/>
        <v>1210</v>
      </c>
    </row>
    <row r="30" spans="1:8" ht="21.75" customHeight="1" x14ac:dyDescent="0.2">
      <c r="A30" s="28" t="s">
        <v>93</v>
      </c>
      <c r="B30" s="28"/>
      <c r="C30" s="28"/>
      <c r="D30" s="28"/>
      <c r="E30" s="28"/>
      <c r="F30" s="28"/>
      <c r="G30" s="28"/>
      <c r="H30" s="28"/>
    </row>
    <row r="31" spans="1:8" ht="26.75" customHeight="1" x14ac:dyDescent="0.2">
      <c r="B31" s="10" t="s">
        <v>94</v>
      </c>
      <c r="C31" s="25" t="s">
        <v>95</v>
      </c>
      <c r="D31" s="25"/>
      <c r="E31" s="25"/>
      <c r="F31" s="25"/>
      <c r="G31" s="25"/>
      <c r="H31" s="25"/>
    </row>
    <row r="32" spans="1:8" ht="26.75" customHeight="1" x14ac:dyDescent="0.2">
      <c r="B32" s="10" t="s">
        <v>96</v>
      </c>
      <c r="C32" s="25" t="s">
        <v>97</v>
      </c>
      <c r="D32" s="25"/>
      <c r="E32" s="25"/>
      <c r="F32" s="25"/>
      <c r="G32" s="25"/>
      <c r="H32" s="25"/>
    </row>
    <row r="33" spans="1:8" ht="15" customHeight="1" x14ac:dyDescent="0.2">
      <c r="B33" s="10" t="s">
        <v>98</v>
      </c>
      <c r="C33" s="25" t="s">
        <v>99</v>
      </c>
      <c r="D33" s="25"/>
      <c r="E33" s="25"/>
      <c r="F33" s="25"/>
      <c r="G33" s="25"/>
      <c r="H33" s="25"/>
    </row>
    <row r="35" spans="1:8" ht="12.75" customHeight="1" x14ac:dyDescent="0.2">
      <c r="A35" s="30" t="s">
        <v>100</v>
      </c>
      <c r="B35" s="30"/>
      <c r="C35" s="30"/>
      <c r="D35" s="30"/>
      <c r="E35" s="30"/>
      <c r="F35" s="30"/>
      <c r="G35" s="30"/>
      <c r="H35" s="30"/>
    </row>
  </sheetData>
  <mergeCells count="12">
    <mergeCell ref="A1:H1"/>
    <mergeCell ref="A2:H2"/>
    <mergeCell ref="A4:H4"/>
    <mergeCell ref="C10:F10"/>
    <mergeCell ref="A12:H12"/>
    <mergeCell ref="C33:H33"/>
    <mergeCell ref="A35:H35"/>
    <mergeCell ref="A14:H14"/>
    <mergeCell ref="A18:H18"/>
    <mergeCell ref="A30:H30"/>
    <mergeCell ref="C31:H31"/>
    <mergeCell ref="C32:H3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zoomScale="180" zoomScaleNormal="180" workbookViewId="0">
      <selection activeCell="S10" sqref="S10"/>
    </sheetView>
  </sheetViews>
  <sheetFormatPr baseColWidth="10" defaultColWidth="8.6640625" defaultRowHeight="15" x14ac:dyDescent="0.2"/>
  <cols>
    <col min="1" max="1" width="3" customWidth="1"/>
    <col min="2" max="2" width="26" customWidth="1"/>
    <col min="3" max="7" width="16" customWidth="1"/>
    <col min="8" max="8" width="3" customWidth="1"/>
  </cols>
  <sheetData>
    <row r="1" spans="1:7" ht="30" customHeight="1" x14ac:dyDescent="0.2">
      <c r="A1" s="32" t="s">
        <v>101</v>
      </c>
      <c r="B1" s="32"/>
      <c r="C1" s="32"/>
      <c r="D1" s="32"/>
      <c r="E1" s="32"/>
      <c r="F1" s="32"/>
      <c r="G1" s="32"/>
    </row>
    <row r="2" spans="1:7" ht="15" customHeight="1" x14ac:dyDescent="0.2">
      <c r="A2" s="33" t="s">
        <v>102</v>
      </c>
      <c r="B2" s="33"/>
      <c r="C2" s="33"/>
      <c r="D2" s="33"/>
      <c r="E2" s="33"/>
      <c r="F2" s="33"/>
      <c r="G2" s="33"/>
    </row>
    <row r="4" spans="1:7" ht="21.75" customHeight="1" x14ac:dyDescent="0.2">
      <c r="A4" s="28" t="s">
        <v>103</v>
      </c>
      <c r="B4" s="28"/>
      <c r="C4" s="28"/>
      <c r="D4" s="28"/>
      <c r="E4" s="28"/>
      <c r="F4" s="28"/>
      <c r="G4" s="28"/>
    </row>
    <row r="5" spans="1:7" x14ac:dyDescent="0.2">
      <c r="B5" s="2" t="s">
        <v>104</v>
      </c>
      <c r="C5" s="2" t="s">
        <v>105</v>
      </c>
      <c r="D5" s="2" t="s">
        <v>106</v>
      </c>
      <c r="E5" s="2" t="s">
        <v>37</v>
      </c>
      <c r="F5" s="2"/>
      <c r="G5" s="2"/>
    </row>
    <row r="6" spans="1:7" x14ac:dyDescent="0.2">
      <c r="B6" s="10" t="s">
        <v>107</v>
      </c>
      <c r="C6" s="19">
        <v>40</v>
      </c>
      <c r="D6" s="19">
        <v>0</v>
      </c>
      <c r="E6" s="34" t="str">
        <f>"d = "&amp;TEXT(C6,"0")&amp;"t + "&amp;TEXT(D6,"0")</f>
        <v>d = 40t + 0</v>
      </c>
      <c r="F6" s="34"/>
    </row>
    <row r="7" spans="1:7" x14ac:dyDescent="0.2">
      <c r="B7" s="10" t="s">
        <v>108</v>
      </c>
      <c r="C7" s="19">
        <v>70</v>
      </c>
      <c r="D7" s="19">
        <v>-40</v>
      </c>
      <c r="E7" s="34" t="str">
        <f>"d = "&amp;C7&amp;"t "&amp;TEXT(D7,"0")</f>
        <v>d = 70t -40</v>
      </c>
      <c r="F7" s="34"/>
    </row>
    <row r="9" spans="1:7" ht="15" customHeight="1" x14ac:dyDescent="0.2">
      <c r="A9" s="29" t="s">
        <v>109</v>
      </c>
      <c r="B9" s="29"/>
      <c r="C9" s="29"/>
      <c r="D9" s="29"/>
      <c r="E9" s="29"/>
      <c r="F9" s="29"/>
      <c r="G9" s="29"/>
    </row>
    <row r="10" spans="1:7" ht="21.75" customHeight="1" x14ac:dyDescent="0.2">
      <c r="A10" s="28" t="s">
        <v>110</v>
      </c>
      <c r="B10" s="28"/>
      <c r="C10" s="28"/>
      <c r="D10" s="28"/>
      <c r="E10" s="28"/>
      <c r="F10" s="28"/>
      <c r="G10" s="28"/>
    </row>
    <row r="11" spans="1:7" ht="30" x14ac:dyDescent="0.2">
      <c r="B11" s="2" t="s">
        <v>111</v>
      </c>
      <c r="C11" s="2" t="s">
        <v>112</v>
      </c>
      <c r="D11" s="2" t="s">
        <v>113</v>
      </c>
      <c r="E11" s="2" t="s">
        <v>114</v>
      </c>
      <c r="F11" s="2"/>
      <c r="G11" s="2"/>
    </row>
    <row r="12" spans="1:7" x14ac:dyDescent="0.2">
      <c r="B12" s="14">
        <v>0</v>
      </c>
      <c r="C12" s="14">
        <f t="shared" ref="C12:C22" si="0">$C$6*B12+$D$6</f>
        <v>0</v>
      </c>
      <c r="D12" s="14">
        <f t="shared" ref="D12:D22" si="1">MAX(0,$C$7*B12+$D$7)</f>
        <v>0</v>
      </c>
      <c r="E12" s="14">
        <f t="shared" ref="E12:E22" si="2">C12-D12</f>
        <v>0</v>
      </c>
    </row>
    <row r="13" spans="1:7" x14ac:dyDescent="0.2">
      <c r="B13" s="14">
        <v>0.5</v>
      </c>
      <c r="C13" s="14">
        <f t="shared" si="0"/>
        <v>20</v>
      </c>
      <c r="D13" s="14">
        <f t="shared" si="1"/>
        <v>0</v>
      </c>
      <c r="E13" s="14">
        <f t="shared" si="2"/>
        <v>20</v>
      </c>
    </row>
    <row r="14" spans="1:7" x14ac:dyDescent="0.2">
      <c r="B14" s="14">
        <v>1</v>
      </c>
      <c r="C14" s="14">
        <f t="shared" si="0"/>
        <v>40</v>
      </c>
      <c r="D14" s="14">
        <f t="shared" si="1"/>
        <v>30</v>
      </c>
      <c r="E14" s="14">
        <f t="shared" si="2"/>
        <v>10</v>
      </c>
    </row>
    <row r="15" spans="1:7" x14ac:dyDescent="0.2">
      <c r="B15" s="14">
        <v>1.5</v>
      </c>
      <c r="C15" s="14">
        <f t="shared" si="0"/>
        <v>60</v>
      </c>
      <c r="D15" s="14">
        <f t="shared" si="1"/>
        <v>65</v>
      </c>
      <c r="E15" s="14">
        <f t="shared" si="2"/>
        <v>-5</v>
      </c>
    </row>
    <row r="16" spans="1:7" x14ac:dyDescent="0.2">
      <c r="B16" s="14">
        <v>2</v>
      </c>
      <c r="C16" s="14">
        <f t="shared" si="0"/>
        <v>80</v>
      </c>
      <c r="D16" s="14">
        <f t="shared" si="1"/>
        <v>100</v>
      </c>
      <c r="E16" s="14">
        <f t="shared" si="2"/>
        <v>-20</v>
      </c>
    </row>
    <row r="17" spans="1:7" x14ac:dyDescent="0.2">
      <c r="B17" s="14">
        <v>2.5</v>
      </c>
      <c r="C17" s="14">
        <f t="shared" si="0"/>
        <v>100</v>
      </c>
      <c r="D17" s="14">
        <f t="shared" si="1"/>
        <v>135</v>
      </c>
      <c r="E17" s="14">
        <f t="shared" si="2"/>
        <v>-35</v>
      </c>
    </row>
    <row r="18" spans="1:7" x14ac:dyDescent="0.2">
      <c r="B18" s="14">
        <v>3</v>
      </c>
      <c r="C18" s="14">
        <f t="shared" si="0"/>
        <v>120</v>
      </c>
      <c r="D18" s="14">
        <f t="shared" si="1"/>
        <v>170</v>
      </c>
      <c r="E18" s="14">
        <f t="shared" si="2"/>
        <v>-50</v>
      </c>
    </row>
    <row r="19" spans="1:7" x14ac:dyDescent="0.2">
      <c r="B19" s="14">
        <v>3.5</v>
      </c>
      <c r="C19" s="14">
        <f t="shared" si="0"/>
        <v>140</v>
      </c>
      <c r="D19" s="14">
        <f t="shared" si="1"/>
        <v>205</v>
      </c>
      <c r="E19" s="14">
        <f t="shared" si="2"/>
        <v>-65</v>
      </c>
    </row>
    <row r="20" spans="1:7" x14ac:dyDescent="0.2">
      <c r="B20" s="14">
        <v>4</v>
      </c>
      <c r="C20" s="14">
        <f t="shared" si="0"/>
        <v>160</v>
      </c>
      <c r="D20" s="14">
        <f t="shared" si="1"/>
        <v>240</v>
      </c>
      <c r="E20" s="14">
        <f t="shared" si="2"/>
        <v>-80</v>
      </c>
    </row>
    <row r="21" spans="1:7" x14ac:dyDescent="0.2">
      <c r="B21" s="14">
        <v>4.5</v>
      </c>
      <c r="C21" s="14">
        <f t="shared" si="0"/>
        <v>180</v>
      </c>
      <c r="D21" s="14">
        <f t="shared" si="1"/>
        <v>275</v>
      </c>
      <c r="E21" s="14">
        <f t="shared" si="2"/>
        <v>-95</v>
      </c>
    </row>
    <row r="22" spans="1:7" x14ac:dyDescent="0.2">
      <c r="B22" s="14">
        <v>5</v>
      </c>
      <c r="C22" s="14">
        <f t="shared" si="0"/>
        <v>200</v>
      </c>
      <c r="D22" s="14">
        <f t="shared" si="1"/>
        <v>310</v>
      </c>
      <c r="E22" s="14">
        <f t="shared" si="2"/>
        <v>-110</v>
      </c>
    </row>
    <row r="24" spans="1:7" ht="21.75" customHeight="1" x14ac:dyDescent="0.2">
      <c r="A24" s="28" t="s">
        <v>115</v>
      </c>
      <c r="B24" s="28"/>
      <c r="C24" s="28"/>
      <c r="D24" s="28"/>
      <c r="E24" s="28"/>
      <c r="F24" s="28"/>
      <c r="G24" s="28"/>
    </row>
    <row r="25" spans="1:7" ht="26.75" customHeight="1" x14ac:dyDescent="0.2">
      <c r="B25" s="10" t="s">
        <v>116</v>
      </c>
      <c r="C25" s="25" t="s">
        <v>117</v>
      </c>
      <c r="D25" s="25"/>
      <c r="E25" s="25"/>
      <c r="F25" s="25"/>
      <c r="G25" s="25"/>
    </row>
    <row r="26" spans="1:7" ht="26.75" customHeight="1" x14ac:dyDescent="0.2">
      <c r="B26" s="10" t="s">
        <v>118</v>
      </c>
      <c r="C26" s="25" t="s">
        <v>119</v>
      </c>
      <c r="D26" s="25"/>
      <c r="E26" s="25"/>
      <c r="F26" s="25"/>
      <c r="G26" s="25"/>
    </row>
    <row r="27" spans="1:7" ht="26.75" customHeight="1" x14ac:dyDescent="0.2">
      <c r="B27" s="10" t="s">
        <v>120</v>
      </c>
      <c r="C27" s="25" t="s">
        <v>121</v>
      </c>
      <c r="D27" s="25"/>
      <c r="E27" s="25"/>
      <c r="F27" s="25"/>
      <c r="G27" s="25"/>
    </row>
    <row r="29" spans="1:7" ht="15" customHeight="1" x14ac:dyDescent="0.2">
      <c r="A29" s="30" t="s">
        <v>122</v>
      </c>
      <c r="B29" s="30"/>
      <c r="C29" s="30"/>
      <c r="D29" s="30"/>
      <c r="E29" s="30"/>
      <c r="F29" s="30"/>
      <c r="G29" s="30"/>
    </row>
    <row r="31" spans="1:7" x14ac:dyDescent="0.2">
      <c r="B31" t="s">
        <v>202</v>
      </c>
      <c r="C31" s="44">
        <v>1.3333333333333333</v>
      </c>
    </row>
    <row r="32" spans="1:7" x14ac:dyDescent="0.2">
      <c r="B32" t="s">
        <v>203</v>
      </c>
      <c r="C32" s="44">
        <f>$C$6*C31+$D$6</f>
        <v>53.333333333333329</v>
      </c>
    </row>
    <row r="33" spans="2:3" x14ac:dyDescent="0.2">
      <c r="B33" t="s">
        <v>204</v>
      </c>
      <c r="C33" s="44">
        <f>MAX(0,$C$7*C31+$D$7)</f>
        <v>53.333333333333329</v>
      </c>
    </row>
    <row r="34" spans="2:3" x14ac:dyDescent="0.2">
      <c r="B34" t="s">
        <v>205</v>
      </c>
      <c r="C34">
        <f>C32-C33</f>
        <v>0</v>
      </c>
    </row>
  </sheetData>
  <mergeCells count="12">
    <mergeCell ref="A1:G1"/>
    <mergeCell ref="A2:G2"/>
    <mergeCell ref="A4:G4"/>
    <mergeCell ref="E6:F6"/>
    <mergeCell ref="E7:F7"/>
    <mergeCell ref="C27:G27"/>
    <mergeCell ref="A29:G29"/>
    <mergeCell ref="A9:G9"/>
    <mergeCell ref="A10:G10"/>
    <mergeCell ref="A24:G24"/>
    <mergeCell ref="C25:G25"/>
    <mergeCell ref="C26:G26"/>
  </mergeCells>
  <conditionalFormatting sqref="E12:E22">
    <cfRule type="cellIs" dxfId="0" priority="1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zoomScale="160" zoomScaleNormal="160" workbookViewId="0">
      <selection activeCell="F16" sqref="F16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3" width="18.83203125" customWidth="1"/>
    <col min="4" max="5" width="16" customWidth="1"/>
    <col min="6" max="6" width="20" customWidth="1"/>
    <col min="7" max="7" width="3" customWidth="1"/>
  </cols>
  <sheetData>
    <row r="1" spans="1:6" ht="30" customHeight="1" x14ac:dyDescent="0.2">
      <c r="A1" s="32" t="s">
        <v>123</v>
      </c>
      <c r="B1" s="32"/>
      <c r="C1" s="32"/>
      <c r="D1" s="32"/>
      <c r="E1" s="32"/>
      <c r="F1" s="32"/>
    </row>
    <row r="2" spans="1:6" ht="15" customHeight="1" x14ac:dyDescent="0.2">
      <c r="A2" s="33" t="s">
        <v>124</v>
      </c>
      <c r="B2" s="33"/>
      <c r="C2" s="33"/>
      <c r="D2" s="33"/>
      <c r="E2" s="33"/>
      <c r="F2" s="33"/>
    </row>
    <row r="4" spans="1:6" ht="21.75" customHeight="1" x14ac:dyDescent="0.2">
      <c r="A4" s="28" t="s">
        <v>125</v>
      </c>
      <c r="B4" s="28"/>
      <c r="C4" s="28"/>
      <c r="D4" s="28"/>
      <c r="E4" s="28"/>
      <c r="F4" s="28"/>
    </row>
    <row r="5" spans="1:6" ht="15" customHeight="1" x14ac:dyDescent="0.2">
      <c r="B5" s="25" t="s">
        <v>126</v>
      </c>
      <c r="C5" s="25"/>
      <c r="D5" s="25"/>
      <c r="E5" s="25"/>
    </row>
    <row r="6" spans="1:6" ht="15" customHeight="1" x14ac:dyDescent="0.2">
      <c r="B6" s="25" t="s">
        <v>127</v>
      </c>
      <c r="C6" s="25"/>
      <c r="D6" s="25"/>
      <c r="E6" s="25"/>
    </row>
    <row r="7" spans="1:6" ht="15" customHeight="1" x14ac:dyDescent="0.2">
      <c r="B7" s="25" t="s">
        <v>128</v>
      </c>
      <c r="C7" s="25"/>
      <c r="D7" s="25"/>
      <c r="E7" s="25"/>
    </row>
    <row r="8" spans="1:6" ht="15" customHeight="1" x14ac:dyDescent="0.2">
      <c r="B8" s="25" t="s">
        <v>129</v>
      </c>
      <c r="C8" s="25"/>
      <c r="D8" s="25"/>
      <c r="E8" s="25"/>
    </row>
    <row r="9" spans="1:6" ht="26.75" customHeight="1" x14ac:dyDescent="0.2">
      <c r="B9" s="25" t="s">
        <v>130</v>
      </c>
      <c r="C9" s="25"/>
      <c r="D9" s="25"/>
      <c r="E9" s="25"/>
    </row>
    <row r="11" spans="1:6" ht="21.75" customHeight="1" x14ac:dyDescent="0.2">
      <c r="A11" s="28" t="s">
        <v>131</v>
      </c>
      <c r="B11" s="28"/>
      <c r="C11" s="28"/>
      <c r="D11" s="28"/>
      <c r="E11" s="28"/>
      <c r="F11" s="28"/>
    </row>
    <row r="12" spans="1:6" ht="15" customHeight="1" x14ac:dyDescent="0.2">
      <c r="A12" s="45" t="s">
        <v>132</v>
      </c>
      <c r="B12" s="29"/>
      <c r="C12" s="29"/>
      <c r="D12" s="29"/>
      <c r="E12" s="29"/>
      <c r="F12" s="29"/>
    </row>
    <row r="13" spans="1:6" x14ac:dyDescent="0.2">
      <c r="B13" s="2" t="s">
        <v>133</v>
      </c>
      <c r="C13" s="2" t="s">
        <v>134</v>
      </c>
      <c r="D13" s="2" t="s">
        <v>62</v>
      </c>
      <c r="E13" s="2"/>
      <c r="F13" s="2"/>
    </row>
    <row r="14" spans="1:6" ht="30" customHeight="1" x14ac:dyDescent="0.2">
      <c r="B14" s="11" t="s">
        <v>135</v>
      </c>
      <c r="C14" s="11" t="s">
        <v>136</v>
      </c>
      <c r="D14" s="19">
        <v>6</v>
      </c>
      <c r="E14" s="19">
        <v>54</v>
      </c>
    </row>
    <row r="15" spans="1:6" x14ac:dyDescent="0.2">
      <c r="B15" s="10" t="s">
        <v>137</v>
      </c>
      <c r="C15" s="11" t="s">
        <v>138</v>
      </c>
      <c r="D15" s="20">
        <f>E14/D14</f>
        <v>9</v>
      </c>
    </row>
    <row r="16" spans="1:6" x14ac:dyDescent="0.2">
      <c r="B16" s="10" t="s">
        <v>139</v>
      </c>
      <c r="C16" s="31" t="str">
        <f>"y = "&amp;TEXT(D15,"0.0")&amp;"x"</f>
        <v>y = 9.0x</v>
      </c>
      <c r="D16" s="31"/>
    </row>
    <row r="18" spans="1:6" ht="21.75" customHeight="1" x14ac:dyDescent="0.2">
      <c r="A18" s="28" t="s">
        <v>140</v>
      </c>
      <c r="B18" s="28"/>
      <c r="C18" s="28"/>
      <c r="D18" s="28"/>
      <c r="E18" s="28"/>
      <c r="F18" s="28"/>
    </row>
    <row r="19" spans="1:6" x14ac:dyDescent="0.2">
      <c r="B19" s="2" t="s">
        <v>141</v>
      </c>
      <c r="C19" s="2" t="s">
        <v>142</v>
      </c>
      <c r="D19" s="2"/>
      <c r="E19" s="2"/>
      <c r="F19" s="2"/>
    </row>
    <row r="20" spans="1:6" x14ac:dyDescent="0.2">
      <c r="B20" s="13">
        <v>0</v>
      </c>
      <c r="C20" s="14">
        <f t="shared" ref="C20:C26" si="0">$D$15*B20</f>
        <v>0</v>
      </c>
    </row>
    <row r="21" spans="1:6" x14ac:dyDescent="0.2">
      <c r="B21" s="13">
        <v>2</v>
      </c>
      <c r="C21" s="14">
        <f t="shared" si="0"/>
        <v>18</v>
      </c>
    </row>
    <row r="22" spans="1:6" x14ac:dyDescent="0.2">
      <c r="B22" s="13">
        <v>4</v>
      </c>
      <c r="C22" s="14">
        <f>$D$15*B22</f>
        <v>36</v>
      </c>
    </row>
    <row r="23" spans="1:6" x14ac:dyDescent="0.2">
      <c r="B23" s="13">
        <v>6</v>
      </c>
      <c r="C23" s="14">
        <f t="shared" si="0"/>
        <v>54</v>
      </c>
    </row>
    <row r="24" spans="1:6" x14ac:dyDescent="0.2">
      <c r="B24" s="13">
        <v>8</v>
      </c>
      <c r="C24" s="14">
        <f t="shared" si="0"/>
        <v>72</v>
      </c>
    </row>
    <row r="25" spans="1:6" x14ac:dyDescent="0.2">
      <c r="B25" s="13">
        <v>10</v>
      </c>
      <c r="C25" s="14">
        <f t="shared" si="0"/>
        <v>90</v>
      </c>
    </row>
    <row r="26" spans="1:6" x14ac:dyDescent="0.2">
      <c r="B26" s="13">
        <v>12</v>
      </c>
      <c r="C26" s="14">
        <f t="shared" si="0"/>
        <v>108</v>
      </c>
    </row>
    <row r="28" spans="1:6" ht="21.75" customHeight="1" x14ac:dyDescent="0.2">
      <c r="A28" s="28" t="s">
        <v>143</v>
      </c>
      <c r="B28" s="28"/>
      <c r="C28" s="28"/>
      <c r="D28" s="28"/>
      <c r="E28" s="28"/>
      <c r="F28" s="28"/>
    </row>
    <row r="29" spans="1:6" x14ac:dyDescent="0.2">
      <c r="B29" s="2" t="s">
        <v>144</v>
      </c>
      <c r="C29" s="2" t="s">
        <v>134</v>
      </c>
      <c r="D29" s="2" t="s">
        <v>145</v>
      </c>
      <c r="E29" s="2"/>
      <c r="F29" s="2"/>
    </row>
    <row r="30" spans="1:6" x14ac:dyDescent="0.2">
      <c r="B30" s="11" t="s">
        <v>146</v>
      </c>
      <c r="C30" s="11" t="s">
        <v>147</v>
      </c>
      <c r="D30" s="21">
        <f>D15*15</f>
        <v>135</v>
      </c>
    </row>
    <row r="31" spans="1:6" ht="30" x14ac:dyDescent="0.2">
      <c r="B31" s="11" t="s">
        <v>148</v>
      </c>
      <c r="C31" s="11" t="s">
        <v>149</v>
      </c>
      <c r="D31" s="22">
        <f>100/D15</f>
        <v>11.111111111111111</v>
      </c>
    </row>
    <row r="33" spans="1:6" ht="21.75" customHeight="1" x14ac:dyDescent="0.2">
      <c r="A33" s="28" t="s">
        <v>150</v>
      </c>
      <c r="B33" s="28"/>
      <c r="C33" s="28"/>
      <c r="D33" s="28"/>
      <c r="E33" s="28"/>
      <c r="F33" s="28"/>
    </row>
    <row r="34" spans="1:6" x14ac:dyDescent="0.2">
      <c r="B34" s="2" t="s">
        <v>151</v>
      </c>
      <c r="C34" s="2" t="s">
        <v>152</v>
      </c>
      <c r="D34" s="2" t="s">
        <v>153</v>
      </c>
      <c r="E34" s="2"/>
      <c r="F34" s="2"/>
    </row>
    <row r="35" spans="1:6" ht="15" customHeight="1" x14ac:dyDescent="0.2">
      <c r="B35" s="11" t="s">
        <v>154</v>
      </c>
      <c r="C35" s="10" t="s">
        <v>155</v>
      </c>
      <c r="D35" s="25" t="s">
        <v>156</v>
      </c>
      <c r="E35" s="25"/>
      <c r="F35" s="25"/>
    </row>
    <row r="36" spans="1:6" ht="26.75" customHeight="1" x14ac:dyDescent="0.2">
      <c r="B36" s="11" t="s">
        <v>157</v>
      </c>
      <c r="C36" s="10" t="s">
        <v>158</v>
      </c>
      <c r="D36" s="25" t="s">
        <v>159</v>
      </c>
      <c r="E36" s="25"/>
      <c r="F36" s="25"/>
    </row>
    <row r="37" spans="1:6" ht="26.75" customHeight="1" x14ac:dyDescent="0.2">
      <c r="B37" s="11" t="s">
        <v>160</v>
      </c>
      <c r="C37" s="10" t="s">
        <v>155</v>
      </c>
      <c r="D37" s="25" t="s">
        <v>161</v>
      </c>
      <c r="E37" s="25"/>
      <c r="F37" s="25"/>
    </row>
    <row r="38" spans="1:6" ht="26.75" customHeight="1" x14ac:dyDescent="0.2">
      <c r="B38" s="11" t="s">
        <v>162</v>
      </c>
      <c r="C38" s="10" t="s">
        <v>158</v>
      </c>
      <c r="D38" s="25" t="s">
        <v>163</v>
      </c>
      <c r="E38" s="25"/>
      <c r="F38" s="25"/>
    </row>
    <row r="40" spans="1:6" ht="15" customHeight="1" x14ac:dyDescent="0.2">
      <c r="A40" s="30" t="s">
        <v>164</v>
      </c>
      <c r="B40" s="30"/>
      <c r="C40" s="30"/>
      <c r="D40" s="30"/>
      <c r="E40" s="30"/>
      <c r="F40" s="30"/>
    </row>
  </sheetData>
  <mergeCells count="19">
    <mergeCell ref="A1:F1"/>
    <mergeCell ref="A2:F2"/>
    <mergeCell ref="A4:F4"/>
    <mergeCell ref="B5:E5"/>
    <mergeCell ref="B6:E6"/>
    <mergeCell ref="B7:E7"/>
    <mergeCell ref="B8:E8"/>
    <mergeCell ref="B9:E9"/>
    <mergeCell ref="A11:F11"/>
    <mergeCell ref="A12:F12"/>
    <mergeCell ref="D36:F36"/>
    <mergeCell ref="D37:F37"/>
    <mergeCell ref="D38:F38"/>
    <mergeCell ref="A40:F40"/>
    <mergeCell ref="C16:D16"/>
    <mergeCell ref="A18:F18"/>
    <mergeCell ref="A28:F28"/>
    <mergeCell ref="A33:F33"/>
    <mergeCell ref="D35:F3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tabSelected="1" zoomScale="190" zoomScaleNormal="190" workbookViewId="0">
      <selection activeCell="J21" sqref="J21"/>
    </sheetView>
  </sheetViews>
  <sheetFormatPr baseColWidth="10" defaultColWidth="8.6640625" defaultRowHeight="15" x14ac:dyDescent="0.2"/>
  <cols>
    <col min="1" max="1" width="3" customWidth="1"/>
    <col min="2" max="2" width="26" customWidth="1"/>
    <col min="3" max="5" width="16" customWidth="1"/>
    <col min="6" max="6" width="22" customWidth="1"/>
    <col min="7" max="7" width="3" customWidth="1"/>
  </cols>
  <sheetData>
    <row r="1" spans="1:6" ht="30" customHeight="1" x14ac:dyDescent="0.2">
      <c r="A1" s="32" t="s">
        <v>165</v>
      </c>
      <c r="B1" s="32"/>
      <c r="C1" s="32"/>
      <c r="D1" s="32"/>
      <c r="E1" s="32"/>
      <c r="F1" s="32"/>
    </row>
    <row r="2" spans="1:6" ht="15" customHeight="1" x14ac:dyDescent="0.2">
      <c r="A2" s="40" t="s">
        <v>166</v>
      </c>
      <c r="B2" s="33"/>
      <c r="C2" s="33"/>
      <c r="D2" s="33"/>
      <c r="E2" s="33"/>
      <c r="F2" s="33"/>
    </row>
    <row r="4" spans="1:6" ht="21.75" customHeight="1" x14ac:dyDescent="0.2">
      <c r="A4" s="28" t="s">
        <v>167</v>
      </c>
      <c r="B4" s="28"/>
      <c r="C4" s="28"/>
      <c r="D4" s="28"/>
      <c r="E4" s="28"/>
      <c r="F4" s="28"/>
    </row>
    <row r="5" spans="1:6" x14ac:dyDescent="0.2">
      <c r="B5" s="2" t="s">
        <v>168</v>
      </c>
      <c r="C5" s="2" t="s">
        <v>27</v>
      </c>
      <c r="D5" s="2"/>
      <c r="E5" s="2" t="s">
        <v>169</v>
      </c>
      <c r="F5" s="2"/>
    </row>
    <row r="6" spans="1:6" ht="26.75" customHeight="1" x14ac:dyDescent="0.2">
      <c r="B6" s="9" t="s">
        <v>170</v>
      </c>
      <c r="C6" s="25" t="s">
        <v>171</v>
      </c>
      <c r="D6" s="25"/>
      <c r="E6" s="25" t="s">
        <v>172</v>
      </c>
      <c r="F6" s="25"/>
    </row>
    <row r="7" spans="1:6" ht="26.75" customHeight="1" x14ac:dyDescent="0.2">
      <c r="B7" s="9" t="s">
        <v>173</v>
      </c>
      <c r="C7" s="25" t="s">
        <v>174</v>
      </c>
      <c r="D7" s="25"/>
      <c r="E7" s="25" t="s">
        <v>175</v>
      </c>
      <c r="F7" s="25"/>
    </row>
    <row r="9" spans="1:6" ht="21.75" customHeight="1" x14ac:dyDescent="0.2">
      <c r="A9" s="28" t="s">
        <v>176</v>
      </c>
      <c r="B9" s="28"/>
      <c r="C9" s="28"/>
      <c r="D9" s="28"/>
      <c r="E9" s="28"/>
      <c r="F9" s="28"/>
    </row>
    <row r="10" spans="1:6" ht="15" customHeight="1" x14ac:dyDescent="0.2">
      <c r="A10" s="29" t="s">
        <v>177</v>
      </c>
      <c r="B10" s="29"/>
      <c r="C10" s="29"/>
      <c r="D10" s="29"/>
      <c r="E10" s="29"/>
      <c r="F10" s="29"/>
    </row>
    <row r="11" spans="1:6" x14ac:dyDescent="0.2">
      <c r="B11" s="2" t="s">
        <v>61</v>
      </c>
      <c r="C11" s="2" t="s">
        <v>62</v>
      </c>
      <c r="D11" s="2"/>
      <c r="E11" s="2"/>
      <c r="F11" s="2"/>
    </row>
    <row r="12" spans="1:6" x14ac:dyDescent="0.2">
      <c r="B12" s="11" t="s">
        <v>178</v>
      </c>
      <c r="C12" s="12">
        <v>2.5</v>
      </c>
    </row>
    <row r="13" spans="1:6" x14ac:dyDescent="0.2">
      <c r="B13" s="11" t="s">
        <v>179</v>
      </c>
      <c r="C13" s="12">
        <v>3</v>
      </c>
    </row>
    <row r="14" spans="1:6" x14ac:dyDescent="0.2">
      <c r="B14" s="11" t="s">
        <v>180</v>
      </c>
      <c r="C14" s="19">
        <v>0</v>
      </c>
    </row>
    <row r="15" spans="1:6" x14ac:dyDescent="0.2">
      <c r="B15" s="11" t="s">
        <v>181</v>
      </c>
      <c r="C15" s="19">
        <v>6</v>
      </c>
    </row>
    <row r="17" spans="1:6" ht="30" x14ac:dyDescent="0.2">
      <c r="B17" s="2" t="s">
        <v>182</v>
      </c>
      <c r="C17" s="2" t="s">
        <v>183</v>
      </c>
      <c r="D17" s="2" t="s">
        <v>184</v>
      </c>
      <c r="E17" s="2"/>
      <c r="F17" s="2"/>
    </row>
    <row r="18" spans="1:6" x14ac:dyDescent="0.2">
      <c r="B18" s="13">
        <v>0</v>
      </c>
      <c r="C18" s="14">
        <f t="shared" ref="C18:C30" si="0">$C$12*B18+$C$13</f>
        <v>3</v>
      </c>
      <c r="D18" s="23" t="str">
        <f t="shared" ref="D18:D30" si="1">IF(AND(B18&gt;=$C$14,B18&lt;=$C$15),"✓ interpolation","⚠ extrapolation")</f>
        <v>✓ interpolation</v>
      </c>
    </row>
    <row r="19" spans="1:6" x14ac:dyDescent="0.2">
      <c r="B19" s="13">
        <v>1</v>
      </c>
      <c r="C19" s="14">
        <f t="shared" si="0"/>
        <v>5.5</v>
      </c>
      <c r="D19" s="23" t="str">
        <f t="shared" si="1"/>
        <v>✓ interpolation</v>
      </c>
    </row>
    <row r="20" spans="1:6" x14ac:dyDescent="0.2">
      <c r="B20" s="13">
        <v>2</v>
      </c>
      <c r="C20" s="14">
        <f t="shared" si="0"/>
        <v>8</v>
      </c>
      <c r="D20" s="23" t="str">
        <f t="shared" si="1"/>
        <v>✓ interpolation</v>
      </c>
    </row>
    <row r="21" spans="1:6" x14ac:dyDescent="0.2">
      <c r="B21" s="13">
        <v>3</v>
      </c>
      <c r="C21" s="14">
        <f t="shared" si="0"/>
        <v>10.5</v>
      </c>
      <c r="D21" s="23" t="str">
        <f t="shared" si="1"/>
        <v>✓ interpolation</v>
      </c>
    </row>
    <row r="22" spans="1:6" x14ac:dyDescent="0.2">
      <c r="B22" s="13">
        <v>4</v>
      </c>
      <c r="C22" s="14">
        <f t="shared" si="0"/>
        <v>13</v>
      </c>
      <c r="D22" s="23" t="str">
        <f t="shared" si="1"/>
        <v>✓ interpolation</v>
      </c>
    </row>
    <row r="23" spans="1:6" x14ac:dyDescent="0.2">
      <c r="B23" s="13">
        <v>5</v>
      </c>
      <c r="C23" s="14">
        <f t="shared" si="0"/>
        <v>15.5</v>
      </c>
      <c r="D23" s="23" t="str">
        <f t="shared" si="1"/>
        <v>✓ interpolation</v>
      </c>
    </row>
    <row r="24" spans="1:6" x14ac:dyDescent="0.2">
      <c r="B24" s="13">
        <v>6</v>
      </c>
      <c r="C24" s="14">
        <f t="shared" si="0"/>
        <v>18</v>
      </c>
      <c r="D24" s="23" t="str">
        <f t="shared" si="1"/>
        <v>✓ interpolation</v>
      </c>
    </row>
    <row r="25" spans="1:6" x14ac:dyDescent="0.2">
      <c r="B25" s="13">
        <v>7</v>
      </c>
      <c r="C25" s="14">
        <f t="shared" si="0"/>
        <v>20.5</v>
      </c>
      <c r="D25" s="23" t="str">
        <f t="shared" si="1"/>
        <v>⚠ extrapolation</v>
      </c>
    </row>
    <row r="26" spans="1:6" x14ac:dyDescent="0.2">
      <c r="B26" s="13">
        <v>8</v>
      </c>
      <c r="C26" s="14">
        <f t="shared" si="0"/>
        <v>23</v>
      </c>
      <c r="D26" s="23" t="str">
        <f t="shared" si="1"/>
        <v>⚠ extrapolation</v>
      </c>
    </row>
    <row r="27" spans="1:6" x14ac:dyDescent="0.2">
      <c r="B27" s="13">
        <v>9</v>
      </c>
      <c r="C27" s="14">
        <f t="shared" si="0"/>
        <v>25.5</v>
      </c>
      <c r="D27" s="23" t="str">
        <f t="shared" si="1"/>
        <v>⚠ extrapolation</v>
      </c>
    </row>
    <row r="28" spans="1:6" x14ac:dyDescent="0.2">
      <c r="B28" s="13">
        <v>10</v>
      </c>
      <c r="C28" s="14">
        <f t="shared" si="0"/>
        <v>28</v>
      </c>
      <c r="D28" s="23" t="str">
        <f t="shared" si="1"/>
        <v>⚠ extrapolation</v>
      </c>
    </row>
    <row r="29" spans="1:6" x14ac:dyDescent="0.2">
      <c r="B29" s="13">
        <v>11</v>
      </c>
      <c r="C29" s="14">
        <f t="shared" si="0"/>
        <v>30.5</v>
      </c>
      <c r="D29" s="23" t="str">
        <f t="shared" si="1"/>
        <v>⚠ extrapolation</v>
      </c>
    </row>
    <row r="30" spans="1:6" x14ac:dyDescent="0.2">
      <c r="B30" s="13">
        <v>12</v>
      </c>
      <c r="C30" s="14">
        <f t="shared" si="0"/>
        <v>33</v>
      </c>
      <c r="D30" s="23" t="str">
        <f t="shared" si="1"/>
        <v>⚠ extrapolation</v>
      </c>
    </row>
    <row r="32" spans="1:6" ht="21.75" customHeight="1" x14ac:dyDescent="0.2">
      <c r="A32" s="28" t="s">
        <v>185</v>
      </c>
      <c r="B32" s="28"/>
      <c r="C32" s="28"/>
      <c r="D32" s="28"/>
      <c r="E32" s="28"/>
      <c r="F32" s="28"/>
    </row>
    <row r="33" spans="1:6" ht="39.5" customHeight="1" x14ac:dyDescent="0.2">
      <c r="B33" s="24" t="s">
        <v>186</v>
      </c>
      <c r="C33" s="25" t="s">
        <v>187</v>
      </c>
      <c r="D33" s="25"/>
      <c r="E33" s="25"/>
      <c r="F33" s="25"/>
    </row>
    <row r="34" spans="1:6" ht="26.75" customHeight="1" x14ac:dyDescent="0.2">
      <c r="B34" s="24" t="s">
        <v>188</v>
      </c>
      <c r="C34" s="25" t="s">
        <v>189</v>
      </c>
      <c r="D34" s="25"/>
      <c r="E34" s="25"/>
      <c r="F34" s="25"/>
    </row>
    <row r="35" spans="1:6" ht="26.75" customHeight="1" x14ac:dyDescent="0.2">
      <c r="B35" s="24" t="s">
        <v>190</v>
      </c>
      <c r="C35" s="25" t="s">
        <v>191</v>
      </c>
      <c r="D35" s="25"/>
      <c r="E35" s="25"/>
      <c r="F35" s="25"/>
    </row>
    <row r="36" spans="1:6" ht="26.75" customHeight="1" x14ac:dyDescent="0.2">
      <c r="B36" s="24" t="s">
        <v>192</v>
      </c>
      <c r="C36" s="25" t="s">
        <v>193</v>
      </c>
      <c r="D36" s="25"/>
      <c r="E36" s="25"/>
      <c r="F36" s="25"/>
    </row>
    <row r="38" spans="1:6" ht="15" customHeight="1" x14ac:dyDescent="0.2">
      <c r="A38" s="30" t="s">
        <v>194</v>
      </c>
      <c r="B38" s="30"/>
      <c r="C38" s="30"/>
      <c r="D38" s="30"/>
      <c r="E38" s="30"/>
      <c r="F38" s="30"/>
    </row>
  </sheetData>
  <mergeCells count="15">
    <mergeCell ref="A1:F1"/>
    <mergeCell ref="A2:F2"/>
    <mergeCell ref="A4:F4"/>
    <mergeCell ref="C6:D6"/>
    <mergeCell ref="E6:F6"/>
    <mergeCell ref="C7:D7"/>
    <mergeCell ref="E7:F7"/>
    <mergeCell ref="A9:F9"/>
    <mergeCell ref="A10:F10"/>
    <mergeCell ref="A32:F32"/>
    <mergeCell ref="C33:F33"/>
    <mergeCell ref="C34:F34"/>
    <mergeCell ref="C35:F35"/>
    <mergeCell ref="C36:F36"/>
    <mergeCell ref="A38:F3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Contents</vt:lpstr>
      <vt:lpstr>📐 Gradient &amp; Intercept</vt:lpstr>
      <vt:lpstr>🧺 Picnic Business</vt:lpstr>
      <vt:lpstr>🚗 Distance &amp; Time</vt:lpstr>
      <vt:lpstr>💧 Direct Variation</vt:lpstr>
      <vt:lpstr>📊 Interp &amp; Extrap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Yenul Weerabahu</cp:lastModifiedBy>
  <cp:revision>1</cp:revision>
  <dcterms:created xsi:type="dcterms:W3CDTF">2026-07-02T11:18:31Z</dcterms:created>
  <dcterms:modified xsi:type="dcterms:W3CDTF">2026-07-03T21:53:15Z</dcterms:modified>
  <dc:language>en-US</dc:language>
</cp:coreProperties>
</file>