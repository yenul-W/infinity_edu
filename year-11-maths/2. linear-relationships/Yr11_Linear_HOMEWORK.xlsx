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w/Downloads/"/>
    </mc:Choice>
  </mc:AlternateContent>
  <xr:revisionPtr revIDLastSave="0" documentId="13_ncr:1_{E0FE8273-A1EB-6F4A-BB30-43101DE40DCE}" xr6:coauthVersionLast="47" xr6:coauthVersionMax="47" xr10:uidLastSave="{00000000-0000-0000-0000-000000000000}"/>
  <bookViews>
    <workbookView xWindow="0" yWindow="620" windowWidth="51200" windowHeight="26220" tabRatio="500" xr2:uid="{00000000-000D-0000-FFFF-FFFF00000000}"/>
  </bookViews>
  <sheets>
    <sheet name="📋 Instructions" sheetId="1" r:id="rId1"/>
    <sheet name="Q1 m and c" sheetId="2" r:id="rId2"/>
    <sheet name="Q2 Picnic+" sheetId="3" r:id="rId3"/>
    <sheet name="Q3 Direct Var" sheetId="4" r:id="rId4"/>
    <sheet name="Q4 Interp-Extrap" sheetId="5" r:id="rId5"/>
    <sheet name="Q5 Build a Mode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6" l="1"/>
  <c r="D26" i="6"/>
  <c r="D25" i="6"/>
  <c r="D24" i="6"/>
  <c r="D20" i="6"/>
  <c r="D19" i="6"/>
  <c r="D18" i="6"/>
  <c r="D17" i="6"/>
  <c r="D16" i="6"/>
  <c r="D15" i="6"/>
  <c r="D10" i="6"/>
  <c r="D9" i="6"/>
  <c r="D18" i="5"/>
  <c r="D17" i="5"/>
  <c r="D16" i="5"/>
  <c r="F12" i="5"/>
  <c r="D12" i="5"/>
  <c r="F11" i="5"/>
  <c r="D11" i="5"/>
  <c r="F10" i="5"/>
  <c r="D10" i="5"/>
  <c r="F9" i="5"/>
  <c r="D9" i="5"/>
  <c r="D26" i="4"/>
  <c r="D25" i="4"/>
  <c r="D24" i="4"/>
  <c r="D23" i="4"/>
  <c r="D22" i="4"/>
  <c r="D21" i="4"/>
  <c r="D16" i="4"/>
  <c r="D15" i="4"/>
  <c r="D14" i="4"/>
  <c r="D9" i="4"/>
  <c r="D8" i="4"/>
  <c r="D7" i="4"/>
  <c r="D6" i="4"/>
  <c r="D30" i="3"/>
  <c r="D29" i="3"/>
  <c r="D28" i="3"/>
  <c r="D27" i="3"/>
  <c r="D22" i="3"/>
  <c r="D21" i="3"/>
  <c r="D20" i="3"/>
  <c r="D19" i="3"/>
  <c r="D18" i="3"/>
  <c r="D17" i="3"/>
  <c r="D10" i="3"/>
  <c r="D9" i="3"/>
  <c r="D8" i="3"/>
  <c r="D7" i="3"/>
  <c r="D28" i="2"/>
  <c r="D27" i="2"/>
  <c r="D26" i="2"/>
  <c r="D25" i="2"/>
  <c r="D24" i="2"/>
  <c r="D23" i="2"/>
  <c r="F19" i="2"/>
  <c r="D19" i="2"/>
  <c r="F18" i="2"/>
  <c r="D18" i="2"/>
  <c r="F17" i="2"/>
  <c r="D17" i="2"/>
  <c r="F16" i="2"/>
  <c r="D16" i="2"/>
  <c r="F11" i="2"/>
  <c r="D11" i="2"/>
  <c r="F10" i="2"/>
  <c r="D10" i="2"/>
  <c r="F9" i="2"/>
  <c r="D9" i="2"/>
  <c r="F8" i="2"/>
  <c r="D8" i="2"/>
  <c r="F7" i="2"/>
  <c r="D7" i="2"/>
  <c r="F6" i="2"/>
  <c r="D6" i="2"/>
</calcChain>
</file>

<file path=xl/sharedStrings.xml><?xml version="1.0" encoding="utf-8"?>
<sst xmlns="http://schemas.openxmlformats.org/spreadsheetml/2006/main" count="186" uniqueCount="155">
  <si>
    <t>Year 11 Standard Maths – Linear Relationships</t>
  </si>
  <si>
    <t>Homework Workbook</t>
  </si>
  <si>
    <t>📌 Instructions:</t>
  </si>
  <si>
    <t>1. Enter answers in the YELLOW cells. ✅/❌ auto-marks your answer.</t>
  </si>
  <si>
    <t>2. Numerical tolerance is ±0.05 unless stated. Written answers go in the wide yellow boxes.</t>
  </si>
  <si>
    <t>3. Q5 asks you to BUILD your own linear model with formulas — the ultimate test!</t>
  </si>
  <si>
    <t>4. ⭐ = recall  ⭐⭐ = multi-step  ⭐⭐⭐ = extended modelling</t>
  </si>
  <si>
    <t>Sheet</t>
  </si>
  <si>
    <t>Topics</t>
  </si>
  <si>
    <t>Q1 m and c</t>
  </si>
  <si>
    <t>Identify gradient &amp; intercept from equations and points</t>
  </si>
  <si>
    <t>Q2 Picnic+</t>
  </si>
  <si>
    <t>Linear cost models: equations, tables, interpretation</t>
  </si>
  <si>
    <t>Q3 Direct Var</t>
  </si>
  <si>
    <t>Direct variation y = kx: find k, solve problems</t>
  </si>
  <si>
    <t>Q4 Interp-Extrap</t>
  </si>
  <si>
    <t>Interpolation/extrapolation + limitations</t>
  </si>
  <si>
    <t>Q5 Build a Model</t>
  </si>
  <si>
    <t>Extended task: build a full spreadsheet model with formulas</t>
  </si>
  <si>
    <t>Q1 – Gradient and y-Intercept (⭐)</t>
  </si>
  <si>
    <t>Enter m and c for each equation. Then find gradients from pairs of points.</t>
  </si>
  <si>
    <t>Part A – From the equation, state m and c</t>
  </si>
  <si>
    <t>Equation</t>
  </si>
  <si>
    <t>Gradient m</t>
  </si>
  <si>
    <t>✅/❌</t>
  </si>
  <si>
    <t>y-intercept c</t>
  </si>
  <si>
    <t>y = 4x + 7</t>
  </si>
  <si>
    <t>y = −3x + 2</t>
  </si>
  <si>
    <t>y = x − 5</t>
  </si>
  <si>
    <t>y = 0.5x</t>
  </si>
  <si>
    <t>y = 12 − 2x</t>
  </si>
  <si>
    <t>y = 8</t>
  </si>
  <si>
    <t>Part B – Find m from two points, then find c</t>
  </si>
  <si>
    <t>m = (y₂−y₁)/(x₂−x₁), then c = y₁ − m·x₁</t>
  </si>
  <si>
    <t>Points</t>
  </si>
  <si>
    <t>Equation (write it)</t>
  </si>
  <si>
    <t>(1, 5) and (3, 11)</t>
  </si>
  <si>
    <t>(0, 4) and (2, 0)</t>
  </si>
  <si>
    <t>(2, 6) and (5, 6)</t>
  </si>
  <si>
    <t>(−1, −2) and (2, 7)</t>
  </si>
  <si>
    <t>Part C – Complete the table for y = 2x − 3</t>
  </si>
  <si>
    <t>x</t>
  </si>
  <si>
    <t>y</t>
  </si>
  <si>
    <t>Sketch this line on paper (or with a graphing app). Label where it crosses each axis.</t>
  </si>
  <si>
    <t>Q2 – Linear Cost Models (⭐⭐)</t>
  </si>
  <si>
    <t>Real-world linear models with fixed costs (c) and rates of change (m).</t>
  </si>
  <si>
    <t>Part A – Jumping Castle Hire</t>
  </si>
  <si>
    <t>A jumping castle company charges a $90 delivery fee plus $65 per hour of hire.</t>
  </si>
  <si>
    <t>Question</t>
  </si>
  <si>
    <t>Your Answer</t>
  </si>
  <si>
    <t>Hint</t>
  </si>
  <si>
    <t>Gradient m ($/hour)</t>
  </si>
  <si>
    <t>the rate of change</t>
  </si>
  <si>
    <t>y-intercept c ($)</t>
  </si>
  <si>
    <t>the fixed cost</t>
  </si>
  <si>
    <t>Cost of a 4-hour hire ($)</t>
  </si>
  <si>
    <t>C = 65n + 90 with n = 4</t>
  </si>
  <si>
    <t>Hours possible with $350 (whole hrs)</t>
  </si>
  <si>
    <t>solve 65n + 90 ≤ 350</t>
  </si>
  <si>
    <t>Write the equation for total cost C in terms of hours n:</t>
  </si>
  <si>
    <t>Part B – Complete the cost table for a phone plan</t>
  </si>
  <si>
    <t>A phone plan costs $25/month plus $8 per GB of data used:  C = 8g + 25</t>
  </si>
  <si>
    <t>Data used g (GB)</t>
  </si>
  <si>
    <t>Cost C ($)</t>
  </si>
  <si>
    <t>Part C – Comparing Two Gyms</t>
  </si>
  <si>
    <t>Gym A: $120 joining fee + $15 per week.    Gym B: no joining fee + $22 per week.</t>
  </si>
  <si>
    <t>Cost of Gym A after 10 weeks ($)</t>
  </si>
  <si>
    <t>120 + 15×10</t>
  </si>
  <si>
    <t>Cost of Gym B after 10 weeks ($)</t>
  </si>
  <si>
    <t>22×10</t>
  </si>
  <si>
    <t>After how many weeks do they cost the same? (2 d.p.)</t>
  </si>
  <si>
    <t>Solve 120+15w = 22w</t>
  </si>
  <si>
    <t>Which gym is cheaper for a full year (52 wks)? Cost difference ($)</t>
  </si>
  <si>
    <t>Compare both at w=52</t>
  </si>
  <si>
    <t>Which gym would you recommend to someone trying it for just 6 weeks? Justify using the models.</t>
  </si>
  <si>
    <t>Q3 – Direct Variation y = kx (⭐⭐)</t>
  </si>
  <si>
    <t>Find the constant of variation, then use the formula to solve problems.</t>
  </si>
  <si>
    <t>Part A – Find k</t>
  </si>
  <si>
    <t>Situation</t>
  </si>
  <si>
    <t>k = y÷x</t>
  </si>
  <si>
    <t>Equation (write y = kx form)</t>
  </si>
  <si>
    <t>Petrol: 25 L costs $52.50</t>
  </si>
  <si>
    <t>Wages: 8 hours pay = $196</t>
  </si>
  <si>
    <t>Recipe: 3 cups flour makes 24 biscuits</t>
  </si>
  <si>
    <t>Travel: 270 km in 3 hours</t>
  </si>
  <si>
    <t>Part B – Use the formula</t>
  </si>
  <si>
    <t>An electrician's call-out cost varies directly with time: 2.5 hours costs $275.</t>
  </si>
  <si>
    <t>Find k ($/hour)</t>
  </si>
  <si>
    <t>275 ÷ 2.5</t>
  </si>
  <si>
    <t>Cost of a 4-hour job ($)</t>
  </si>
  <si>
    <t>y = kx with x = 4</t>
  </si>
  <si>
    <t>Hours of work for $605</t>
  </si>
  <si>
    <t>x = y ÷ k</t>
  </si>
  <si>
    <t>Part C – Direct variation or not?</t>
  </si>
  <si>
    <t>Type YES if the relationship is direct variation (y = kx), NO if not.</t>
  </si>
  <si>
    <t>Relationship</t>
  </si>
  <si>
    <t>YES / NO</t>
  </si>
  <si>
    <t>Reason (write your own)</t>
  </si>
  <si>
    <t>Cost of apples at $4.50/kg</t>
  </si>
  <si>
    <t>Taxi: $4.20 flag-fall + $2.10/km</t>
  </si>
  <si>
    <t>Distance at a constant 90 km/h</t>
  </si>
  <si>
    <t>Mobile plan: $30 + $10 per extra GB</t>
  </si>
  <si>
    <t>A graph passing through (0,0) with gradient 7</t>
  </si>
  <si>
    <t>The line y = 3x + 1</t>
  </si>
  <si>
    <t>💡 Test: direct variation MUST pass through the origin. Any fixed fee (intercept ≠ 0) breaks direct variation.</t>
  </si>
  <si>
    <t>Q4 – Interpolation, Extrapolation &amp; Limitations (⭐⭐⭐)</t>
  </si>
  <si>
    <t>A café records daily iced-drink sales against maximum temperature and fits the model:  S = 4t − 40</t>
  </si>
  <si>
    <t>The Model</t>
  </si>
  <si>
    <t>S = number of iced drinks sold,  t = max temperature (°C).  Data was collected for temperatures 20°C to 38°C.</t>
  </si>
  <si>
    <t>Part A – Use the model</t>
  </si>
  <si>
    <t>Interp or Extrap? (type one)</t>
  </si>
  <si>
    <t>Predicted sales at 30°C</t>
  </si>
  <si>
    <t>Predicted sales at 25°C</t>
  </si>
  <si>
    <t>Predicted sales at 45°C</t>
  </si>
  <si>
    <t>Predicted sales at 10°C</t>
  </si>
  <si>
    <t>Part B – Interpret the features</t>
  </si>
  <si>
    <t>What is the gradient of the model?</t>
  </si>
  <si>
    <t>coefficient of t</t>
  </si>
  <si>
    <t>What is the S-intercept?</t>
  </si>
  <si>
    <t>constant term</t>
  </si>
  <si>
    <t>At what temperature does the model predict ZERO sales?</t>
  </si>
  <si>
    <t>solve 4t − 40 = 0</t>
  </si>
  <si>
    <t>Part C – Limitations (written answers)</t>
  </si>
  <si>
    <t>1. The gradient is 4. Interpret this value in the context of the café. ('For every 1°C increase...')</t>
  </si>
  <si>
    <t>2. The model predicts −20 sales at 5°C. Explain why this is meaningless and what it tells us about the model's valid domain.</t>
  </si>
  <si>
    <t>3. Why is the prediction at 45°C risky, even though the maths works? Give TWO real-world reasons.</t>
  </si>
  <si>
    <t>4. The intercept is −40. Does the S-intercept have a sensible real-world meaning in this model? Explain.</t>
  </si>
  <si>
    <t>💡 A good limitation answer names the assumption that breaks: constant rate, valid domain, ignored variables, capacity limits.</t>
  </si>
  <si>
    <t>Q5 – Build Your Own Spreadsheet Model (⭐⭐⭐)</t>
  </si>
  <si>
    <t>This is the syllabus dot-point in action: USE A SPREADSHEET to model a linear relationship. You write the formulas!</t>
  </si>
  <si>
    <t>Scenario: Sports Training Model</t>
  </si>
  <si>
    <t>A basketball coach finds that a player's free-throw success rate improves linearly with practice: a player starts at 42% success and improves by 1.5 percentage points per week of training.</t>
  </si>
  <si>
    <t>Part A – Set up the parameters</t>
  </si>
  <si>
    <t>Parameter</t>
  </si>
  <si>
    <t>Value</t>
  </si>
  <si>
    <t>Starting success rate (%) — enter 42</t>
  </si>
  <si>
    <t>Improvement per week (%) — enter 1.5</t>
  </si>
  <si>
    <t>Part B – Build the table WITH FORMULAS</t>
  </si>
  <si>
    <t>In column C below, type a formula that uses the cells above (e.g. =$C$10*B17+$C$9). Your formula must reference the parameter cells so the whole model updates if they change!</t>
  </si>
  <si>
    <t>Week (w)</t>
  </si>
  <si>
    <t>Success rate (%) – YOUR FORMULA</t>
  </si>
  <si>
    <t>Part C – Use your model</t>
  </si>
  <si>
    <t>Write the model equation: rate = ___w + ___. Enter the gradient</t>
  </si>
  <si>
    <t>m = improvement per week</t>
  </si>
  <si>
    <t>Enter the intercept</t>
  </si>
  <si>
    <t>c = starting rate</t>
  </si>
  <si>
    <t>Predicted success rate after 20 weeks (%)</t>
  </si>
  <si>
    <t>substitute w = 20</t>
  </si>
  <si>
    <t>Weeks needed to reach 60% (nearest whole week)</t>
  </si>
  <si>
    <t>solve 42 + 1.5w = 60</t>
  </si>
  <si>
    <t>Part D – Critique your model (written answers)</t>
  </si>
  <si>
    <t>1. According to your model, what is the success rate after 50 weeks? Is this possible? What real-world ceiling does this model ignore?</t>
  </si>
  <si>
    <t>2. Is it realistic for improvement to be exactly 1.5% every single week? Name two factors that would make real improvement non-linear.</t>
  </si>
  <si>
    <t>3. Over what domain (range of weeks) do you think this linear model is reasonable? Justify your choice.</t>
  </si>
  <si>
    <t>💡 Prediction: 42 + 1.5×50 = 117% — impossible! Success rates cap at 100%. Every linear model has a valid domain.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</si>
</sst>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0000FF"/>
      <name val="Arial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i/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7" fillId="7" borderId="0" xfId="0" applyFont="1" applyFill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/>
    <xf numFmtId="0" fontId="0" fillId="5" borderId="0" xfId="0" applyFill="1" applyAlignment="1">
      <alignment horizontal="left" vertical="center" wrapText="1"/>
    </xf>
    <xf numFmtId="0" fontId="5" fillId="6" borderId="0" xfId="0" applyFont="1" applyFill="1"/>
    <xf numFmtId="0" fontId="0" fillId="6" borderId="0" xfId="0" applyFill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0" fillId="7" borderId="1" xfId="0" applyNumberForma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Your Training Model (chart updates as you type!)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Success rate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'Q5 Build a Model'!$B$15:$B$20</c:f>
              <c:numCache>
                <c:formatCode>0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'Q5 Build a Model'!$C$15:$C$20</c:f>
              <c:numCache>
                <c:formatCode>0.0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F9-7D4C-B310-052B13AE7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14024"/>
        <c:axId val="18654475"/>
      </c:scatterChart>
      <c:valAx>
        <c:axId val="430140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Weeks of training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654475"/>
        <c:crosses val="autoZero"/>
        <c:crossBetween val="midCat"/>
      </c:valAx>
      <c:valAx>
        <c:axId val="18654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Success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0140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2</xdr:row>
      <xdr:rowOff>2720</xdr:rowOff>
    </xdr:from>
    <xdr:to>
      <xdr:col>16</xdr:col>
      <xdr:colOff>178820</xdr:colOff>
      <xdr:row>13</xdr:row>
      <xdr:rowOff>13200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Normal="100" workbookViewId="0">
      <selection activeCell="C34" sqref="C34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3" width="16" customWidth="1"/>
    <col min="4" max="4" width="3" customWidth="1"/>
  </cols>
  <sheetData>
    <row r="1" spans="1:3" ht="30" customHeight="1" x14ac:dyDescent="0.2">
      <c r="A1" s="10" t="s">
        <v>0</v>
      </c>
      <c r="B1" s="10"/>
      <c r="C1" s="10"/>
    </row>
    <row r="2" spans="1:3" ht="30" customHeight="1" x14ac:dyDescent="0.2">
      <c r="A2" s="9" t="s">
        <v>1</v>
      </c>
      <c r="B2" s="9"/>
      <c r="C2" s="9"/>
    </row>
    <row r="4" spans="1:3" x14ac:dyDescent="0.2">
      <c r="B4" s="11" t="s">
        <v>2</v>
      </c>
    </row>
    <row r="5" spans="1:3" ht="26.75" customHeight="1" x14ac:dyDescent="0.2">
      <c r="B5" s="8" t="s">
        <v>3</v>
      </c>
      <c r="C5" s="8"/>
    </row>
    <row r="6" spans="1:3" ht="26.75" customHeight="1" x14ac:dyDescent="0.2">
      <c r="B6" s="8" t="s">
        <v>4</v>
      </c>
      <c r="C6" s="8"/>
    </row>
    <row r="7" spans="1:3" ht="26.75" customHeight="1" x14ac:dyDescent="0.2">
      <c r="B7" s="8" t="s">
        <v>5</v>
      </c>
      <c r="C7" s="8"/>
    </row>
    <row r="8" spans="1:3" ht="26.75" customHeight="1" x14ac:dyDescent="0.2">
      <c r="B8" s="8" t="s">
        <v>6</v>
      </c>
      <c r="C8" s="8"/>
    </row>
    <row r="10" spans="1:3" x14ac:dyDescent="0.2">
      <c r="B10" s="12" t="s">
        <v>7</v>
      </c>
      <c r="C10" s="12" t="s">
        <v>8</v>
      </c>
    </row>
    <row r="11" spans="1:3" ht="64" x14ac:dyDescent="0.2">
      <c r="B11" s="13" t="s">
        <v>9</v>
      </c>
      <c r="C11" s="14" t="s">
        <v>10</v>
      </c>
    </row>
    <row r="12" spans="1:3" ht="48" x14ac:dyDescent="0.2">
      <c r="B12" s="15" t="s">
        <v>11</v>
      </c>
      <c r="C12" s="16" t="s">
        <v>12</v>
      </c>
    </row>
    <row r="13" spans="1:3" ht="48" x14ac:dyDescent="0.2">
      <c r="B13" s="13" t="s">
        <v>13</v>
      </c>
      <c r="C13" s="14" t="s">
        <v>14</v>
      </c>
    </row>
    <row r="14" spans="1:3" ht="48" x14ac:dyDescent="0.2">
      <c r="B14" s="15" t="s">
        <v>15</v>
      </c>
      <c r="C14" s="16" t="s">
        <v>16</v>
      </c>
    </row>
    <row r="15" spans="1:3" ht="64" x14ac:dyDescent="0.2">
      <c r="B15" s="13" t="s">
        <v>17</v>
      </c>
      <c r="C15" s="14" t="s">
        <v>18</v>
      </c>
    </row>
  </sheetData>
  <mergeCells count="6">
    <mergeCell ref="B8:C8"/>
    <mergeCell ref="A1:C1"/>
    <mergeCell ref="A2:C2"/>
    <mergeCell ref="B5:C5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16" customWidth="1"/>
    <col min="4" max="4" width="10" customWidth="1"/>
    <col min="5" max="5" width="16" customWidth="1"/>
    <col min="6" max="6" width="10" customWidth="1"/>
    <col min="7" max="7" width="20" customWidth="1"/>
    <col min="8" max="8" width="3" customWidth="1"/>
  </cols>
  <sheetData>
    <row r="1" spans="1:7" ht="30" customHeight="1" x14ac:dyDescent="0.2">
      <c r="A1" s="7" t="s">
        <v>19</v>
      </c>
      <c r="B1" s="7"/>
      <c r="C1" s="7"/>
      <c r="D1" s="7"/>
      <c r="E1" s="7"/>
      <c r="F1" s="7"/>
      <c r="G1" s="7"/>
    </row>
    <row r="2" spans="1:7" ht="15" customHeight="1" x14ac:dyDescent="0.2">
      <c r="A2" s="6" t="s">
        <v>20</v>
      </c>
      <c r="B2" s="6"/>
      <c r="C2" s="6"/>
      <c r="D2" s="6"/>
      <c r="E2" s="6"/>
      <c r="F2" s="6"/>
      <c r="G2" s="6"/>
    </row>
    <row r="4" spans="1:7" ht="21.75" customHeight="1" x14ac:dyDescent="0.2">
      <c r="A4" s="5" t="s">
        <v>21</v>
      </c>
      <c r="B4" s="5"/>
      <c r="C4" s="5"/>
      <c r="D4" s="5"/>
      <c r="E4" s="5"/>
      <c r="F4" s="5"/>
      <c r="G4" s="5"/>
    </row>
    <row r="5" spans="1:7" x14ac:dyDescent="0.2">
      <c r="B5" s="12" t="s">
        <v>22</v>
      </c>
      <c r="C5" s="12" t="s">
        <v>23</v>
      </c>
      <c r="D5" s="12" t="s">
        <v>24</v>
      </c>
      <c r="E5" s="12" t="s">
        <v>25</v>
      </c>
      <c r="F5" s="12" t="s">
        <v>24</v>
      </c>
      <c r="G5" s="12"/>
    </row>
    <row r="6" spans="1:7" ht="16" x14ac:dyDescent="0.2">
      <c r="B6" s="17" t="s">
        <v>26</v>
      </c>
      <c r="C6" s="18"/>
      <c r="D6" s="19" t="str">
        <f>IF(C6="","",IF(ABS(C6-4)&lt;0.05,"✅","❌"))</f>
        <v/>
      </c>
      <c r="E6" s="18"/>
      <c r="F6" s="19" t="str">
        <f>IF(E6="","",IF(ABS(E6-7)&lt;0.05,"✅","❌"))</f>
        <v/>
      </c>
    </row>
    <row r="7" spans="1:7" ht="16" x14ac:dyDescent="0.2">
      <c r="B7" s="20" t="s">
        <v>27</v>
      </c>
      <c r="C7" s="18"/>
      <c r="D7" s="19" t="str">
        <f>IF(C7="","",IF(ABS(C7--3)&lt;0.05,"✅","❌"))</f>
        <v/>
      </c>
      <c r="E7" s="18"/>
      <c r="F7" s="19" t="str">
        <f>IF(E7="","",IF(ABS(E7-2)&lt;0.05,"✅","❌"))</f>
        <v/>
      </c>
    </row>
    <row r="8" spans="1:7" ht="16" x14ac:dyDescent="0.2">
      <c r="B8" s="17" t="s">
        <v>28</v>
      </c>
      <c r="C8" s="18"/>
      <c r="D8" s="19" t="str">
        <f>IF(C8="","",IF(ABS(C8-1)&lt;0.05,"✅","❌"))</f>
        <v/>
      </c>
      <c r="E8" s="18"/>
      <c r="F8" s="19" t="str">
        <f>IF(E8="","",IF(ABS(E8--5)&lt;0.05,"✅","❌"))</f>
        <v/>
      </c>
    </row>
    <row r="9" spans="1:7" ht="16" x14ac:dyDescent="0.2">
      <c r="B9" s="20" t="s">
        <v>29</v>
      </c>
      <c r="C9" s="18"/>
      <c r="D9" s="19" t="str">
        <f>IF(C9="","",IF(ABS(C9-0.5)&lt;0.05,"✅","❌"))</f>
        <v/>
      </c>
      <c r="E9" s="18"/>
      <c r="F9" s="19" t="str">
        <f>IF(E9="","",IF(ABS(E9-0)&lt;0.05,"✅","❌"))</f>
        <v/>
      </c>
    </row>
    <row r="10" spans="1:7" ht="16" x14ac:dyDescent="0.2">
      <c r="B10" s="17" t="s">
        <v>30</v>
      </c>
      <c r="C10" s="18"/>
      <c r="D10" s="19" t="str">
        <f>IF(C10="","",IF(ABS(C10--2)&lt;0.05,"✅","❌"))</f>
        <v/>
      </c>
      <c r="E10" s="18"/>
      <c r="F10" s="19" t="str">
        <f>IF(E10="","",IF(ABS(E10-12)&lt;0.05,"✅","❌"))</f>
        <v/>
      </c>
    </row>
    <row r="11" spans="1:7" ht="16" x14ac:dyDescent="0.2">
      <c r="B11" s="20" t="s">
        <v>31</v>
      </c>
      <c r="C11" s="18"/>
      <c r="D11" s="19" t="str">
        <f>IF(C11="","",IF(ABS(C11-0)&lt;0.05,"✅","❌"))</f>
        <v/>
      </c>
      <c r="E11" s="18"/>
      <c r="F11" s="19" t="str">
        <f>IF(E11="","",IF(ABS(E11-8)&lt;0.05,"✅","❌"))</f>
        <v/>
      </c>
    </row>
    <row r="13" spans="1:7" ht="21.75" customHeight="1" x14ac:dyDescent="0.2">
      <c r="A13" s="5" t="s">
        <v>32</v>
      </c>
      <c r="B13" s="5"/>
      <c r="C13" s="5"/>
      <c r="D13" s="5"/>
      <c r="E13" s="5"/>
      <c r="F13" s="5"/>
      <c r="G13" s="5"/>
    </row>
    <row r="14" spans="1:7" ht="15" customHeight="1" x14ac:dyDescent="0.2">
      <c r="A14" s="4" t="s">
        <v>33</v>
      </c>
      <c r="B14" s="4"/>
      <c r="C14" s="4"/>
      <c r="D14" s="4"/>
      <c r="E14" s="4"/>
      <c r="F14" s="4"/>
      <c r="G14" s="4"/>
    </row>
    <row r="15" spans="1:7" x14ac:dyDescent="0.2">
      <c r="B15" s="12" t="s">
        <v>34</v>
      </c>
      <c r="C15" s="12" t="s">
        <v>23</v>
      </c>
      <c r="D15" s="12" t="s">
        <v>24</v>
      </c>
      <c r="E15" s="12" t="s">
        <v>25</v>
      </c>
      <c r="F15" s="12" t="s">
        <v>24</v>
      </c>
      <c r="G15" s="12" t="s">
        <v>35</v>
      </c>
    </row>
    <row r="16" spans="1:7" ht="16" x14ac:dyDescent="0.2">
      <c r="B16" s="21" t="s">
        <v>36</v>
      </c>
      <c r="C16" s="22"/>
      <c r="D16" s="19" t="str">
        <f>IF(C16="","",IF(ABS(C16-3)&lt;0.05,"✅","❌"))</f>
        <v/>
      </c>
      <c r="E16" s="22"/>
      <c r="F16" s="19" t="str">
        <f>IF(E16="","",IF(ABS(E16-2)&lt;0.05,"✅","❌"))</f>
        <v/>
      </c>
      <c r="G16" s="23"/>
    </row>
    <row r="17" spans="1:7" ht="16" x14ac:dyDescent="0.2">
      <c r="B17" s="24" t="s">
        <v>37</v>
      </c>
      <c r="C17" s="22"/>
      <c r="D17" s="19" t="str">
        <f>IF(C17="","",IF(ABS(C17--2)&lt;0.05,"✅","❌"))</f>
        <v/>
      </c>
      <c r="E17" s="22"/>
      <c r="F17" s="19" t="str">
        <f>IF(E17="","",IF(ABS(E17-4)&lt;0.05,"✅","❌"))</f>
        <v/>
      </c>
      <c r="G17" s="23"/>
    </row>
    <row r="18" spans="1:7" ht="16" x14ac:dyDescent="0.2">
      <c r="B18" s="21" t="s">
        <v>38</v>
      </c>
      <c r="C18" s="22"/>
      <c r="D18" s="19" t="str">
        <f>IF(C18="","",IF(ABS(C18-0)&lt;0.05,"✅","❌"))</f>
        <v/>
      </c>
      <c r="E18" s="22"/>
      <c r="F18" s="19" t="str">
        <f>IF(E18="","",IF(ABS(E18-6)&lt;0.05,"✅","❌"))</f>
        <v/>
      </c>
      <c r="G18" s="23"/>
    </row>
    <row r="19" spans="1:7" ht="16" x14ac:dyDescent="0.2">
      <c r="B19" s="24" t="s">
        <v>39</v>
      </c>
      <c r="C19" s="22"/>
      <c r="D19" s="19" t="str">
        <f>IF(C19="","",IF(ABS(C19-3)&lt;0.05,"✅","❌"))</f>
        <v/>
      </c>
      <c r="E19" s="22"/>
      <c r="F19" s="19" t="str">
        <f>IF(E19="","",IF(ABS(E19-1)&lt;0.05,"✅","❌"))</f>
        <v/>
      </c>
      <c r="G19" s="23"/>
    </row>
    <row r="21" spans="1:7" ht="21.75" customHeight="1" x14ac:dyDescent="0.2">
      <c r="A21" s="5" t="s">
        <v>40</v>
      </c>
      <c r="B21" s="5"/>
      <c r="C21" s="5"/>
      <c r="D21" s="5"/>
      <c r="E21" s="5"/>
      <c r="F21" s="5"/>
      <c r="G21" s="5"/>
    </row>
    <row r="22" spans="1:7" x14ac:dyDescent="0.2">
      <c r="B22" s="12" t="s">
        <v>41</v>
      </c>
      <c r="C22" s="12" t="s">
        <v>42</v>
      </c>
      <c r="D22" s="12" t="s">
        <v>24</v>
      </c>
      <c r="E22" s="12"/>
      <c r="F22" s="12"/>
      <c r="G22" s="12"/>
    </row>
    <row r="23" spans="1:7" ht="16" x14ac:dyDescent="0.2">
      <c r="B23" s="25">
        <v>-2</v>
      </c>
      <c r="C23" s="26"/>
      <c r="D23" s="19" t="str">
        <f>IF(C23="","",IF(ABS(C23--7)&lt;0.05,"✅","❌"))</f>
        <v/>
      </c>
    </row>
    <row r="24" spans="1:7" ht="16" x14ac:dyDescent="0.2">
      <c r="B24" s="25">
        <v>-1</v>
      </c>
      <c r="C24" s="26"/>
      <c r="D24" s="19" t="str">
        <f>IF(C24="","",IF(ABS(C24--5)&lt;0.05,"✅","❌"))</f>
        <v/>
      </c>
    </row>
    <row r="25" spans="1:7" ht="16" x14ac:dyDescent="0.2">
      <c r="B25" s="25">
        <v>0</v>
      </c>
      <c r="C25" s="26"/>
      <c r="D25" s="19" t="str">
        <f>IF(C25="","",IF(ABS(C25--3)&lt;0.05,"✅","❌"))</f>
        <v/>
      </c>
    </row>
    <row r="26" spans="1:7" ht="16" x14ac:dyDescent="0.2">
      <c r="B26" s="25">
        <v>1</v>
      </c>
      <c r="C26" s="26"/>
      <c r="D26" s="19" t="str">
        <f>IF(C26="","",IF(ABS(C26--1)&lt;0.05,"✅","❌"))</f>
        <v/>
      </c>
    </row>
    <row r="27" spans="1:7" ht="16" x14ac:dyDescent="0.2">
      <c r="B27" s="25">
        <v>2</v>
      </c>
      <c r="C27" s="26"/>
      <c r="D27" s="19" t="str">
        <f>IF(C27="","",IF(ABS(C27-1)&lt;0.05,"✅","❌"))</f>
        <v/>
      </c>
    </row>
    <row r="28" spans="1:7" ht="16" x14ac:dyDescent="0.2">
      <c r="B28" s="25">
        <v>3</v>
      </c>
      <c r="C28" s="26"/>
      <c r="D28" s="19" t="str">
        <f>IF(C28="","",IF(ABS(C28-3)&lt;0.05,"✅","❌"))</f>
        <v/>
      </c>
    </row>
    <row r="30" spans="1:7" ht="15" customHeight="1" x14ac:dyDescent="0.2">
      <c r="B30" s="3" t="s">
        <v>43</v>
      </c>
      <c r="C30" s="3"/>
      <c r="D30" s="3"/>
      <c r="E30" s="3"/>
      <c r="F30" s="3"/>
    </row>
  </sheetData>
  <mergeCells count="7">
    <mergeCell ref="A21:G21"/>
    <mergeCell ref="B30:F30"/>
    <mergeCell ref="A1:G1"/>
    <mergeCell ref="A2:G2"/>
    <mergeCell ref="A4:G4"/>
    <mergeCell ref="A13:G13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3" width="16" customWidth="1"/>
    <col min="4" max="4" width="10" customWidth="1"/>
    <col min="5" max="5" width="16" customWidth="1"/>
    <col min="6" max="6" width="10" customWidth="1"/>
    <col min="7" max="7" width="20" customWidth="1"/>
    <col min="8" max="8" width="3" customWidth="1"/>
  </cols>
  <sheetData>
    <row r="1" spans="1:7" ht="30" customHeight="1" x14ac:dyDescent="0.2">
      <c r="A1" s="7" t="s">
        <v>44</v>
      </c>
      <c r="B1" s="7"/>
      <c r="C1" s="7"/>
      <c r="D1" s="7"/>
      <c r="E1" s="7"/>
      <c r="F1" s="7"/>
      <c r="G1" s="7"/>
    </row>
    <row r="2" spans="1:7" ht="15" customHeight="1" x14ac:dyDescent="0.2">
      <c r="A2" s="6" t="s">
        <v>45</v>
      </c>
      <c r="B2" s="6"/>
      <c r="C2" s="6"/>
      <c r="D2" s="6"/>
      <c r="E2" s="6"/>
      <c r="F2" s="6"/>
      <c r="G2" s="6"/>
    </row>
    <row r="4" spans="1:7" ht="21.75" customHeight="1" x14ac:dyDescent="0.2">
      <c r="A4" s="5" t="s">
        <v>46</v>
      </c>
      <c r="B4" s="5"/>
      <c r="C4" s="5"/>
      <c r="D4" s="5"/>
      <c r="E4" s="5"/>
      <c r="F4" s="5"/>
      <c r="G4" s="5"/>
    </row>
    <row r="5" spans="1:7" ht="15" customHeight="1" x14ac:dyDescent="0.2">
      <c r="B5" s="8" t="s">
        <v>47</v>
      </c>
      <c r="C5" s="8"/>
      <c r="D5" s="8"/>
      <c r="E5" s="8"/>
      <c r="F5" s="8"/>
    </row>
    <row r="6" spans="1:7" x14ac:dyDescent="0.2">
      <c r="B6" s="12" t="s">
        <v>48</v>
      </c>
      <c r="C6" s="12" t="s">
        <v>49</v>
      </c>
      <c r="D6" s="12" t="s">
        <v>24</v>
      </c>
      <c r="E6" s="12"/>
      <c r="F6" s="12"/>
      <c r="G6" s="12" t="s">
        <v>50</v>
      </c>
    </row>
    <row r="7" spans="1:7" ht="16" x14ac:dyDescent="0.2">
      <c r="B7" s="24" t="s">
        <v>51</v>
      </c>
      <c r="C7" s="22"/>
      <c r="D7" s="19" t="str">
        <f>IF(C7="","",IF(ABS(C7-65)&lt;0.05,"✅","❌"))</f>
        <v/>
      </c>
      <c r="G7" s="27" t="s">
        <v>52</v>
      </c>
    </row>
    <row r="8" spans="1:7" ht="16" x14ac:dyDescent="0.2">
      <c r="B8" s="21" t="s">
        <v>53</v>
      </c>
      <c r="C8" s="22"/>
      <c r="D8" s="19" t="str">
        <f>IF(C8="","",IF(ABS(C8-90)&lt;0.05,"✅","❌"))</f>
        <v/>
      </c>
      <c r="G8" s="27" t="s">
        <v>54</v>
      </c>
    </row>
    <row r="9" spans="1:7" ht="16" x14ac:dyDescent="0.2">
      <c r="B9" s="24" t="s">
        <v>55</v>
      </c>
      <c r="C9" s="22"/>
      <c r="D9" s="19" t="str">
        <f>IF(C9="","",IF(ABS(C9-350)&lt;0.05,"✅","❌"))</f>
        <v/>
      </c>
      <c r="G9" s="27" t="s">
        <v>56</v>
      </c>
    </row>
    <row r="10" spans="1:7" ht="16" x14ac:dyDescent="0.2">
      <c r="B10" s="21" t="s">
        <v>57</v>
      </c>
      <c r="C10" s="22"/>
      <c r="D10" s="19" t="str">
        <f>IF(C10="","",IF(ABS(C10-4)&lt;0.05,"✅","❌"))</f>
        <v/>
      </c>
      <c r="G10" s="27" t="s">
        <v>58</v>
      </c>
    </row>
    <row r="12" spans="1:7" ht="15" customHeight="1" x14ac:dyDescent="0.2">
      <c r="B12" s="8" t="s">
        <v>59</v>
      </c>
      <c r="C12" s="8"/>
      <c r="D12" s="8"/>
      <c r="E12" s="8"/>
      <c r="F12" s="2"/>
      <c r="G12" s="2"/>
    </row>
    <row r="14" spans="1:7" ht="21.75" customHeight="1" x14ac:dyDescent="0.2">
      <c r="A14" s="5" t="s">
        <v>60</v>
      </c>
      <c r="B14" s="5"/>
      <c r="C14" s="5"/>
      <c r="D14" s="5"/>
      <c r="E14" s="5"/>
      <c r="F14" s="5"/>
      <c r="G14" s="5"/>
    </row>
    <row r="15" spans="1:7" ht="15" customHeight="1" x14ac:dyDescent="0.2">
      <c r="B15" s="8" t="s">
        <v>61</v>
      </c>
      <c r="C15" s="8"/>
      <c r="D15" s="8"/>
      <c r="E15" s="8"/>
      <c r="F15" s="8"/>
    </row>
    <row r="16" spans="1:7" x14ac:dyDescent="0.2">
      <c r="B16" s="12" t="s">
        <v>62</v>
      </c>
      <c r="C16" s="12" t="s">
        <v>63</v>
      </c>
      <c r="D16" s="12" t="s">
        <v>24</v>
      </c>
      <c r="E16" s="12"/>
      <c r="F16" s="12"/>
      <c r="G16" s="12"/>
    </row>
    <row r="17" spans="1:7" ht="16" x14ac:dyDescent="0.2">
      <c r="B17" s="25">
        <v>0</v>
      </c>
      <c r="C17" s="28"/>
      <c r="D17" s="19" t="str">
        <f>IF(C17="","",IF(ABS(C17-25)&lt;0.05,"✅","❌"))</f>
        <v/>
      </c>
    </row>
    <row r="18" spans="1:7" ht="16" x14ac:dyDescent="0.2">
      <c r="B18" s="25">
        <v>2</v>
      </c>
      <c r="C18" s="28"/>
      <c r="D18" s="19" t="str">
        <f>IF(C18="","",IF(ABS(C18-41)&lt;0.05,"✅","❌"))</f>
        <v/>
      </c>
    </row>
    <row r="19" spans="1:7" ht="16" x14ac:dyDescent="0.2">
      <c r="B19" s="25">
        <v>4</v>
      </c>
      <c r="C19" s="28"/>
      <c r="D19" s="19" t="str">
        <f>IF(C19="","",IF(ABS(C19-57)&lt;0.05,"✅","❌"))</f>
        <v/>
      </c>
    </row>
    <row r="20" spans="1:7" ht="16" x14ac:dyDescent="0.2">
      <c r="B20" s="25">
        <v>6</v>
      </c>
      <c r="C20" s="28"/>
      <c r="D20" s="19" t="str">
        <f>IF(C20="","",IF(ABS(C20-73)&lt;0.05,"✅","❌"))</f>
        <v/>
      </c>
    </row>
    <row r="21" spans="1:7" ht="16" x14ac:dyDescent="0.2">
      <c r="B21" s="25">
        <v>8</v>
      </c>
      <c r="C21" s="28"/>
      <c r="D21" s="19" t="str">
        <f>IF(C21="","",IF(ABS(C21-89)&lt;0.05,"✅","❌"))</f>
        <v/>
      </c>
    </row>
    <row r="22" spans="1:7" ht="16" x14ac:dyDescent="0.2">
      <c r="B22" s="25">
        <v>10</v>
      </c>
      <c r="C22" s="28"/>
      <c r="D22" s="19" t="str">
        <f>IF(C22="","",IF(ABS(C22-105)&lt;0.05,"✅","❌"))</f>
        <v/>
      </c>
    </row>
    <row r="24" spans="1:7" ht="21.75" customHeight="1" x14ac:dyDescent="0.2">
      <c r="A24" s="5" t="s">
        <v>64</v>
      </c>
      <c r="B24" s="5"/>
      <c r="C24" s="5"/>
      <c r="D24" s="5"/>
      <c r="E24" s="5"/>
      <c r="F24" s="5"/>
      <c r="G24" s="5"/>
    </row>
    <row r="25" spans="1:7" ht="15" customHeight="1" x14ac:dyDescent="0.2">
      <c r="B25" s="8" t="s">
        <v>65</v>
      </c>
      <c r="C25" s="8"/>
      <c r="D25" s="8"/>
      <c r="E25" s="8"/>
      <c r="F25" s="8"/>
    </row>
    <row r="26" spans="1:7" x14ac:dyDescent="0.2">
      <c r="B26" s="12" t="s">
        <v>48</v>
      </c>
      <c r="C26" s="12" t="s">
        <v>49</v>
      </c>
      <c r="D26" s="12" t="s">
        <v>24</v>
      </c>
      <c r="E26" s="12"/>
      <c r="F26" s="12"/>
      <c r="G26" s="12" t="s">
        <v>50</v>
      </c>
    </row>
    <row r="27" spans="1:7" ht="16" x14ac:dyDescent="0.2">
      <c r="B27" s="24" t="s">
        <v>66</v>
      </c>
      <c r="C27" s="22"/>
      <c r="D27" s="19" t="str">
        <f>IF(C27="","",IF(ABS(C27-270)&lt;0.05,"✅","❌"))</f>
        <v/>
      </c>
      <c r="G27" s="27" t="s">
        <v>67</v>
      </c>
    </row>
    <row r="28" spans="1:7" ht="16" x14ac:dyDescent="0.2">
      <c r="B28" s="21" t="s">
        <v>68</v>
      </c>
      <c r="C28" s="22"/>
      <c r="D28" s="19" t="str">
        <f>IF(C28="","",IF(ABS(C28-220)&lt;0.05,"✅","❌"))</f>
        <v/>
      </c>
      <c r="G28" s="27" t="s">
        <v>69</v>
      </c>
    </row>
    <row r="29" spans="1:7" ht="30" x14ac:dyDescent="0.2">
      <c r="B29" s="24" t="s">
        <v>70</v>
      </c>
      <c r="C29" s="22"/>
      <c r="D29" s="19" t="str">
        <f>IF(C29="","",IF(ABS(C29-17.142857)&lt;0.05,"✅","❌"))</f>
        <v/>
      </c>
      <c r="G29" s="27" t="s">
        <v>71</v>
      </c>
    </row>
    <row r="30" spans="1:7" ht="30" x14ac:dyDescent="0.2">
      <c r="B30" s="21" t="s">
        <v>72</v>
      </c>
      <c r="C30" s="22"/>
      <c r="D30" s="19" t="str">
        <f>IF(C30="","",IF(ABS(C30-244)&lt;0.5,"✅","❌"))</f>
        <v/>
      </c>
      <c r="G30" s="27" t="s">
        <v>73</v>
      </c>
    </row>
    <row r="32" spans="1:7" ht="26.75" customHeight="1" x14ac:dyDescent="0.2">
      <c r="B32" s="8" t="s">
        <v>74</v>
      </c>
      <c r="C32" s="8"/>
      <c r="D32" s="8"/>
      <c r="E32" s="8"/>
      <c r="F32" s="8"/>
    </row>
    <row r="33" spans="2:6" x14ac:dyDescent="0.2">
      <c r="B33" s="2"/>
      <c r="C33" s="2"/>
      <c r="D33" s="2"/>
      <c r="E33" s="2"/>
      <c r="F33" s="2"/>
    </row>
  </sheetData>
  <mergeCells count="12">
    <mergeCell ref="B33:F33"/>
    <mergeCell ref="A14:G14"/>
    <mergeCell ref="B15:F15"/>
    <mergeCell ref="A24:G24"/>
    <mergeCell ref="B25:F25"/>
    <mergeCell ref="B32:F32"/>
    <mergeCell ref="A1:G1"/>
    <mergeCell ref="A2:G2"/>
    <mergeCell ref="A4:G4"/>
    <mergeCell ref="B5:F5"/>
    <mergeCell ref="B12:E12"/>
    <mergeCell ref="F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3" width="16" customWidth="1"/>
    <col min="4" max="4" width="10" customWidth="1"/>
    <col min="5" max="5" width="20" customWidth="1"/>
    <col min="6" max="6" width="10" customWidth="1"/>
    <col min="7" max="7" width="16" customWidth="1"/>
    <col min="8" max="8" width="3" customWidth="1"/>
  </cols>
  <sheetData>
    <row r="1" spans="1:7" ht="30" customHeight="1" x14ac:dyDescent="0.2">
      <c r="A1" s="7" t="s">
        <v>75</v>
      </c>
      <c r="B1" s="7"/>
      <c r="C1" s="7"/>
      <c r="D1" s="7"/>
      <c r="E1" s="7"/>
      <c r="F1" s="7"/>
      <c r="G1" s="7"/>
    </row>
    <row r="2" spans="1:7" ht="15" customHeight="1" x14ac:dyDescent="0.2">
      <c r="A2" s="6" t="s">
        <v>76</v>
      </c>
      <c r="B2" s="6"/>
      <c r="C2" s="6"/>
      <c r="D2" s="6"/>
      <c r="E2" s="6"/>
      <c r="F2" s="6"/>
      <c r="G2" s="6"/>
    </row>
    <row r="4" spans="1:7" ht="21.75" customHeight="1" x14ac:dyDescent="0.2">
      <c r="A4" s="5" t="s">
        <v>77</v>
      </c>
      <c r="B4" s="5"/>
      <c r="C4" s="5"/>
      <c r="D4" s="5"/>
      <c r="E4" s="5"/>
      <c r="F4" s="5"/>
      <c r="G4" s="5"/>
    </row>
    <row r="5" spans="1:7" ht="30" x14ac:dyDescent="0.2">
      <c r="B5" s="12" t="s">
        <v>78</v>
      </c>
      <c r="C5" s="12" t="s">
        <v>79</v>
      </c>
      <c r="D5" s="12" t="s">
        <v>24</v>
      </c>
      <c r="E5" s="12" t="s">
        <v>80</v>
      </c>
      <c r="F5" s="12"/>
      <c r="G5" s="12"/>
    </row>
    <row r="6" spans="1:7" ht="16" x14ac:dyDescent="0.2">
      <c r="B6" s="21" t="s">
        <v>81</v>
      </c>
      <c r="C6" s="22"/>
      <c r="D6" s="19" t="str">
        <f>IF(C6="","",IF(ABS(C6-2.1)&lt;0.05,"✅","❌"))</f>
        <v/>
      </c>
      <c r="E6" s="2"/>
      <c r="F6" s="2"/>
    </row>
    <row r="7" spans="1:7" ht="16" x14ac:dyDescent="0.2">
      <c r="B7" s="24" t="s">
        <v>82</v>
      </c>
      <c r="C7" s="22"/>
      <c r="D7" s="19" t="str">
        <f>IF(C7="","",IF(ABS(C7-24.5)&lt;0.05,"✅","❌"))</f>
        <v/>
      </c>
      <c r="E7" s="2"/>
      <c r="F7" s="2"/>
    </row>
    <row r="8" spans="1:7" ht="16" x14ac:dyDescent="0.2">
      <c r="B8" s="21" t="s">
        <v>83</v>
      </c>
      <c r="C8" s="22"/>
      <c r="D8" s="19" t="str">
        <f>IF(C8="","",IF(ABS(C8-8)&lt;0.05,"✅","❌"))</f>
        <v/>
      </c>
      <c r="E8" s="2"/>
      <c r="F8" s="2"/>
    </row>
    <row r="9" spans="1:7" ht="16" x14ac:dyDescent="0.2">
      <c r="B9" s="24" t="s">
        <v>84</v>
      </c>
      <c r="C9" s="22"/>
      <c r="D9" s="19" t="str">
        <f>IF(C9="","",IF(ABS(C9-90)&lt;0.05,"✅","❌"))</f>
        <v/>
      </c>
      <c r="E9" s="2"/>
      <c r="F9" s="2"/>
    </row>
    <row r="11" spans="1:7" ht="21.75" customHeight="1" x14ac:dyDescent="0.2">
      <c r="A11" s="5" t="s">
        <v>85</v>
      </c>
      <c r="B11" s="5"/>
      <c r="C11" s="5"/>
      <c r="D11" s="5"/>
      <c r="E11" s="5"/>
      <c r="F11" s="5"/>
      <c r="G11" s="5"/>
    </row>
    <row r="12" spans="1:7" ht="15" customHeight="1" x14ac:dyDescent="0.2">
      <c r="B12" s="8" t="s">
        <v>86</v>
      </c>
      <c r="C12" s="8"/>
      <c r="D12" s="8"/>
      <c r="E12" s="8"/>
      <c r="F12" s="8"/>
    </row>
    <row r="13" spans="1:7" x14ac:dyDescent="0.2">
      <c r="B13" s="12" t="s">
        <v>48</v>
      </c>
      <c r="C13" s="12" t="s">
        <v>49</v>
      </c>
      <c r="D13" s="12" t="s">
        <v>24</v>
      </c>
      <c r="E13" s="12" t="s">
        <v>50</v>
      </c>
      <c r="F13" s="12"/>
      <c r="G13" s="12"/>
    </row>
    <row r="14" spans="1:7" ht="15" customHeight="1" x14ac:dyDescent="0.2">
      <c r="B14" s="21" t="s">
        <v>87</v>
      </c>
      <c r="C14" s="22"/>
      <c r="D14" s="19" t="str">
        <f>IF(C14="","",IF(ABS(C14-110)&lt;0.05,"✅","❌"))</f>
        <v/>
      </c>
      <c r="E14" s="8" t="s">
        <v>88</v>
      </c>
      <c r="F14" s="8"/>
      <c r="G14" s="8"/>
    </row>
    <row r="15" spans="1:7" ht="15" customHeight="1" x14ac:dyDescent="0.2">
      <c r="B15" s="24" t="s">
        <v>89</v>
      </c>
      <c r="C15" s="22"/>
      <c r="D15" s="19" t="str">
        <f>IF(C15="","",IF(ABS(C15-440)&lt;0.05,"✅","❌"))</f>
        <v/>
      </c>
      <c r="E15" s="8" t="s">
        <v>90</v>
      </c>
      <c r="F15" s="8"/>
      <c r="G15" s="8"/>
    </row>
    <row r="16" spans="1:7" ht="15" customHeight="1" x14ac:dyDescent="0.2">
      <c r="B16" s="21" t="s">
        <v>91</v>
      </c>
      <c r="C16" s="22"/>
      <c r="D16" s="19" t="str">
        <f>IF(C16="","",IF(ABS(C16-5.5)&lt;0.05,"✅","❌"))</f>
        <v/>
      </c>
      <c r="E16" s="8" t="s">
        <v>92</v>
      </c>
      <c r="F16" s="8"/>
      <c r="G16" s="8"/>
    </row>
    <row r="18" spans="1:7" ht="21.75" customHeight="1" x14ac:dyDescent="0.2">
      <c r="A18" s="5" t="s">
        <v>93</v>
      </c>
      <c r="B18" s="5"/>
      <c r="C18" s="5"/>
      <c r="D18" s="5"/>
      <c r="E18" s="5"/>
      <c r="F18" s="5"/>
      <c r="G18" s="5"/>
    </row>
    <row r="19" spans="1:7" ht="15" customHeight="1" x14ac:dyDescent="0.2">
      <c r="B19" s="8" t="s">
        <v>94</v>
      </c>
      <c r="C19" s="8"/>
      <c r="D19" s="8"/>
      <c r="E19" s="8"/>
      <c r="F19" s="8"/>
    </row>
    <row r="20" spans="1:7" ht="30" x14ac:dyDescent="0.2">
      <c r="B20" s="12" t="s">
        <v>95</v>
      </c>
      <c r="C20" s="12" t="s">
        <v>96</v>
      </c>
      <c r="D20" s="12" t="s">
        <v>24</v>
      </c>
      <c r="E20" s="12" t="s">
        <v>97</v>
      </c>
      <c r="F20" s="12"/>
      <c r="G20" s="12"/>
    </row>
    <row r="21" spans="1:7" ht="16" x14ac:dyDescent="0.2">
      <c r="B21" s="24" t="s">
        <v>98</v>
      </c>
      <c r="C21" s="23"/>
      <c r="D21" s="19" t="str">
        <f>IF(C21="","",IF(LOWER(TRIM(C21))=LOWER("YES"),"✅","❌"))</f>
        <v/>
      </c>
      <c r="E21" s="2"/>
      <c r="F21" s="2"/>
      <c r="G21" s="2"/>
    </row>
    <row r="22" spans="1:7" ht="16" x14ac:dyDescent="0.2">
      <c r="B22" s="21" t="s">
        <v>99</v>
      </c>
      <c r="C22" s="23"/>
      <c r="D22" s="19" t="str">
        <f>IF(C22="","",IF(LOWER(TRIM(C22))=LOWER("NO"),"✅","❌"))</f>
        <v/>
      </c>
      <c r="E22" s="2"/>
      <c r="F22" s="2"/>
      <c r="G22" s="2"/>
    </row>
    <row r="23" spans="1:7" ht="16" x14ac:dyDescent="0.2">
      <c r="B23" s="24" t="s">
        <v>100</v>
      </c>
      <c r="C23" s="23"/>
      <c r="D23" s="19" t="str">
        <f>IF(C23="","",IF(LOWER(TRIM(C23))=LOWER("YES"),"✅","❌"))</f>
        <v/>
      </c>
      <c r="E23" s="2"/>
      <c r="F23" s="2"/>
      <c r="G23" s="2"/>
    </row>
    <row r="24" spans="1:7" ht="16" x14ac:dyDescent="0.2">
      <c r="B24" s="21" t="s">
        <v>101</v>
      </c>
      <c r="C24" s="23"/>
      <c r="D24" s="19" t="str">
        <f>IF(C24="","",IF(LOWER(TRIM(C24))=LOWER("NO"),"✅","❌"))</f>
        <v/>
      </c>
      <c r="E24" s="2"/>
      <c r="F24" s="2"/>
      <c r="G24" s="2"/>
    </row>
    <row r="25" spans="1:7" ht="30" x14ac:dyDescent="0.2">
      <c r="B25" s="24" t="s">
        <v>102</v>
      </c>
      <c r="C25" s="23"/>
      <c r="D25" s="19" t="str">
        <f>IF(C25="","",IF(LOWER(TRIM(C25))=LOWER("YES"),"✅","❌"))</f>
        <v/>
      </c>
      <c r="E25" s="2"/>
      <c r="F25" s="2"/>
      <c r="G25" s="2"/>
    </row>
    <row r="26" spans="1:7" ht="16" x14ac:dyDescent="0.2">
      <c r="B26" s="21" t="s">
        <v>103</v>
      </c>
      <c r="C26" s="23"/>
      <c r="D26" s="19" t="str">
        <f>IF(C26="","",IF(LOWER(TRIM(C26))=LOWER("NO"),"✅","❌"))</f>
        <v/>
      </c>
      <c r="E26" s="2"/>
      <c r="F26" s="2"/>
      <c r="G26" s="2"/>
    </row>
    <row r="28" spans="1:7" ht="15" customHeight="1" x14ac:dyDescent="0.2">
      <c r="A28" s="1" t="s">
        <v>104</v>
      </c>
      <c r="B28" s="1"/>
      <c r="C28" s="1"/>
      <c r="D28" s="1"/>
      <c r="E28" s="1"/>
      <c r="F28" s="1"/>
      <c r="G28" s="1"/>
    </row>
  </sheetData>
  <mergeCells count="21">
    <mergeCell ref="A28:G28"/>
    <mergeCell ref="E22:G22"/>
    <mergeCell ref="E23:G23"/>
    <mergeCell ref="E24:G24"/>
    <mergeCell ref="E25:G25"/>
    <mergeCell ref="E26:G26"/>
    <mergeCell ref="E15:G15"/>
    <mergeCell ref="E16:G16"/>
    <mergeCell ref="A18:G18"/>
    <mergeCell ref="B19:F19"/>
    <mergeCell ref="E21:G21"/>
    <mergeCell ref="E8:F8"/>
    <mergeCell ref="E9:F9"/>
    <mergeCell ref="A11:G11"/>
    <mergeCell ref="B12:F12"/>
    <mergeCell ref="E14:G14"/>
    <mergeCell ref="A1:G1"/>
    <mergeCell ref="A2:G2"/>
    <mergeCell ref="A4:G4"/>
    <mergeCell ref="E6:F6"/>
    <mergeCell ref="E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3" width="16" customWidth="1"/>
    <col min="4" max="4" width="10" customWidth="1"/>
    <col min="5" max="5" width="20" customWidth="1"/>
    <col min="6" max="6" width="16" customWidth="1"/>
    <col min="7" max="7" width="3" customWidth="1"/>
  </cols>
  <sheetData>
    <row r="1" spans="1:6" ht="30" customHeight="1" x14ac:dyDescent="0.2">
      <c r="A1" s="7" t="s">
        <v>105</v>
      </c>
      <c r="B1" s="7"/>
      <c r="C1" s="7"/>
      <c r="D1" s="7"/>
      <c r="E1" s="7"/>
      <c r="F1" s="7"/>
    </row>
    <row r="2" spans="1:6" ht="15" customHeight="1" x14ac:dyDescent="0.2">
      <c r="A2" s="6" t="s">
        <v>106</v>
      </c>
      <c r="B2" s="6"/>
      <c r="C2" s="6"/>
      <c r="D2" s="6"/>
      <c r="E2" s="6"/>
      <c r="F2" s="6"/>
    </row>
    <row r="4" spans="1:6" ht="21.75" customHeight="1" x14ac:dyDescent="0.2">
      <c r="A4" s="5" t="s">
        <v>107</v>
      </c>
      <c r="B4" s="5"/>
      <c r="C4" s="5"/>
      <c r="D4" s="5"/>
      <c r="E4" s="5"/>
      <c r="F4" s="5"/>
    </row>
    <row r="5" spans="1:6" ht="26.75" customHeight="1" x14ac:dyDescent="0.2">
      <c r="B5" s="8" t="s">
        <v>108</v>
      </c>
      <c r="C5" s="8"/>
      <c r="D5" s="8"/>
      <c r="E5" s="8"/>
    </row>
    <row r="7" spans="1:6" ht="21.75" customHeight="1" x14ac:dyDescent="0.2">
      <c r="A7" s="5" t="s">
        <v>109</v>
      </c>
      <c r="B7" s="5"/>
      <c r="C7" s="5"/>
      <c r="D7" s="5"/>
      <c r="E7" s="5"/>
      <c r="F7" s="5"/>
    </row>
    <row r="8" spans="1:6" ht="30" x14ac:dyDescent="0.2">
      <c r="B8" s="12" t="s">
        <v>48</v>
      </c>
      <c r="C8" s="12" t="s">
        <v>49</v>
      </c>
      <c r="D8" s="12" t="s">
        <v>24</v>
      </c>
      <c r="E8" s="12" t="s">
        <v>110</v>
      </c>
      <c r="F8" s="12" t="s">
        <v>24</v>
      </c>
    </row>
    <row r="9" spans="1:6" ht="16" x14ac:dyDescent="0.2">
      <c r="B9" s="24" t="s">
        <v>111</v>
      </c>
      <c r="C9" s="26"/>
      <c r="D9" s="19" t="str">
        <f>IF(C9="","",IF(ABS(C9-80)&lt;0.05,"✅","❌"))</f>
        <v/>
      </c>
      <c r="E9" s="23"/>
      <c r="F9" s="19" t="str">
        <f>IF(E9="","",IF(LOWER(TRIM(E9))=LOWER("Interpolation"),"✅","❌"))</f>
        <v/>
      </c>
    </row>
    <row r="10" spans="1:6" ht="16" x14ac:dyDescent="0.2">
      <c r="B10" s="21" t="s">
        <v>112</v>
      </c>
      <c r="C10" s="26"/>
      <c r="D10" s="19" t="str">
        <f>IF(C10="","",IF(ABS(C10-60)&lt;0.05,"✅","❌"))</f>
        <v/>
      </c>
      <c r="E10" s="23"/>
      <c r="F10" s="19" t="str">
        <f>IF(E10="","",IF(LOWER(TRIM(E10))=LOWER("Interpolation"),"✅","❌"))</f>
        <v/>
      </c>
    </row>
    <row r="11" spans="1:6" ht="16" x14ac:dyDescent="0.2">
      <c r="B11" s="24" t="s">
        <v>113</v>
      </c>
      <c r="C11" s="26"/>
      <c r="D11" s="19" t="str">
        <f>IF(C11="","",IF(ABS(C11-140)&lt;0.05,"✅","❌"))</f>
        <v/>
      </c>
      <c r="E11" s="23"/>
      <c r="F11" s="19" t="str">
        <f>IF(E11="","",IF(LOWER(TRIM(E11))=LOWER("Extrapolation"),"✅","❌"))</f>
        <v/>
      </c>
    </row>
    <row r="12" spans="1:6" ht="16" x14ac:dyDescent="0.2">
      <c r="B12" s="21" t="s">
        <v>114</v>
      </c>
      <c r="C12" s="26"/>
      <c r="D12" s="19" t="str">
        <f>IF(C12="","",IF(ABS(C12-0)&lt;0.05,"✅","❌"))</f>
        <v/>
      </c>
      <c r="E12" s="23"/>
      <c r="F12" s="19" t="str">
        <f>IF(E12="","",IF(LOWER(TRIM(E12))=LOWER("Extrapolation"),"✅","❌"))</f>
        <v/>
      </c>
    </row>
    <row r="14" spans="1:6" ht="21.75" customHeight="1" x14ac:dyDescent="0.2">
      <c r="A14" s="5" t="s">
        <v>115</v>
      </c>
      <c r="B14" s="5"/>
      <c r="C14" s="5"/>
      <c r="D14" s="5"/>
      <c r="E14" s="5"/>
      <c r="F14" s="5"/>
    </row>
    <row r="15" spans="1:6" x14ac:dyDescent="0.2">
      <c r="B15" s="12" t="s">
        <v>48</v>
      </c>
      <c r="C15" s="12" t="s">
        <v>49</v>
      </c>
      <c r="D15" s="12" t="s">
        <v>24</v>
      </c>
      <c r="E15" s="12" t="s">
        <v>50</v>
      </c>
      <c r="F15" s="12"/>
    </row>
    <row r="16" spans="1:6" ht="26.75" customHeight="1" x14ac:dyDescent="0.2">
      <c r="B16" s="21" t="s">
        <v>116</v>
      </c>
      <c r="C16" s="26"/>
      <c r="D16" s="19" t="str">
        <f>IF(C16="","",IF(ABS(C16-4)&lt;0.05,"✅","❌"))</f>
        <v/>
      </c>
      <c r="E16" s="8" t="s">
        <v>117</v>
      </c>
      <c r="F16" s="8"/>
    </row>
    <row r="17" spans="1:6" ht="15" customHeight="1" x14ac:dyDescent="0.2">
      <c r="B17" s="24" t="s">
        <v>118</v>
      </c>
      <c r="C17" s="26"/>
      <c r="D17" s="19" t="str">
        <f>IF(C17="","",IF(ABS(C17--40)&lt;0.05,"✅","❌"))</f>
        <v/>
      </c>
      <c r="E17" s="8" t="s">
        <v>119</v>
      </c>
      <c r="F17" s="8"/>
    </row>
    <row r="18" spans="1:6" ht="26.75" customHeight="1" x14ac:dyDescent="0.2">
      <c r="B18" s="21" t="s">
        <v>120</v>
      </c>
      <c r="C18" s="26"/>
      <c r="D18" s="19" t="str">
        <f>IF(C18="","",IF(ABS(C18-10)&lt;0.05,"✅","❌"))</f>
        <v/>
      </c>
      <c r="E18" s="8" t="s">
        <v>121</v>
      </c>
      <c r="F18" s="8"/>
    </row>
    <row r="20" spans="1:6" ht="21.75" customHeight="1" x14ac:dyDescent="0.2">
      <c r="A20" s="5" t="s">
        <v>122</v>
      </c>
      <c r="B20" s="5"/>
      <c r="C20" s="5"/>
      <c r="D20" s="5"/>
      <c r="E20" s="5"/>
      <c r="F20" s="5"/>
    </row>
    <row r="21" spans="1:6" ht="26.75" customHeight="1" x14ac:dyDescent="0.2">
      <c r="B21" s="8" t="s">
        <v>123</v>
      </c>
      <c r="C21" s="8"/>
      <c r="D21" s="8"/>
      <c r="E21" s="8"/>
    </row>
    <row r="22" spans="1:6" ht="27.75" customHeight="1" x14ac:dyDescent="0.2">
      <c r="B22" s="2"/>
      <c r="C22" s="2"/>
      <c r="D22" s="2"/>
      <c r="E22" s="2"/>
    </row>
    <row r="23" spans="1:6" ht="26.75" customHeight="1" x14ac:dyDescent="0.2">
      <c r="B23" s="8" t="s">
        <v>124</v>
      </c>
      <c r="C23" s="8"/>
      <c r="D23" s="8"/>
      <c r="E23" s="8"/>
    </row>
    <row r="24" spans="1:6" ht="27.75" customHeight="1" x14ac:dyDescent="0.2">
      <c r="B24" s="2"/>
      <c r="C24" s="2"/>
      <c r="D24" s="2"/>
      <c r="E24" s="2"/>
    </row>
    <row r="25" spans="1:6" ht="26.75" customHeight="1" x14ac:dyDescent="0.2">
      <c r="B25" s="8" t="s">
        <v>125</v>
      </c>
      <c r="C25" s="8"/>
      <c r="D25" s="8"/>
      <c r="E25" s="8"/>
    </row>
    <row r="26" spans="1:6" ht="27.75" customHeight="1" x14ac:dyDescent="0.2">
      <c r="B26" s="2"/>
      <c r="C26" s="2"/>
      <c r="D26" s="2"/>
      <c r="E26" s="2"/>
    </row>
    <row r="27" spans="1:6" ht="26.75" customHeight="1" x14ac:dyDescent="0.2">
      <c r="B27" s="8" t="s">
        <v>126</v>
      </c>
      <c r="C27" s="8"/>
      <c r="D27" s="8"/>
      <c r="E27" s="8"/>
    </row>
    <row r="28" spans="1:6" ht="27.75" customHeight="1" x14ac:dyDescent="0.2">
      <c r="B28" s="2"/>
      <c r="C28" s="2"/>
      <c r="D28" s="2"/>
      <c r="E28" s="2"/>
    </row>
    <row r="30" spans="1:6" ht="23.75" customHeight="1" x14ac:dyDescent="0.2">
      <c r="A30" s="1" t="s">
        <v>127</v>
      </c>
      <c r="B30" s="1"/>
      <c r="C30" s="1"/>
      <c r="D30" s="1"/>
      <c r="E30" s="1"/>
      <c r="F30" s="1"/>
    </row>
  </sheetData>
  <mergeCells count="19">
    <mergeCell ref="B26:E26"/>
    <mergeCell ref="B27:E27"/>
    <mergeCell ref="B28:E28"/>
    <mergeCell ref="A30:F30"/>
    <mergeCell ref="B21:E21"/>
    <mergeCell ref="B22:E22"/>
    <mergeCell ref="B23:E23"/>
    <mergeCell ref="B24:E24"/>
    <mergeCell ref="B25:E25"/>
    <mergeCell ref="A14:F14"/>
    <mergeCell ref="E16:F16"/>
    <mergeCell ref="E17:F17"/>
    <mergeCell ref="E18:F18"/>
    <mergeCell ref="A20:F20"/>
    <mergeCell ref="A1:F1"/>
    <mergeCell ref="A2:F2"/>
    <mergeCell ref="A4:F4"/>
    <mergeCell ref="B5:E5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zoomScaleNormal="100" workbookViewId="0">
      <selection activeCell="Q14" sqref="Q14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6" width="16" customWidth="1"/>
    <col min="7" max="7" width="20" customWidth="1"/>
    <col min="8" max="8" width="3" customWidth="1"/>
  </cols>
  <sheetData>
    <row r="1" spans="1:7" ht="30" customHeight="1" x14ac:dyDescent="0.2">
      <c r="A1" s="7" t="s">
        <v>128</v>
      </c>
      <c r="B1" s="7"/>
      <c r="C1" s="7"/>
      <c r="D1" s="7"/>
      <c r="E1" s="7"/>
      <c r="F1" s="7"/>
      <c r="G1" s="7"/>
    </row>
    <row r="2" spans="1:7" ht="15" customHeight="1" x14ac:dyDescent="0.2">
      <c r="A2" s="6" t="s">
        <v>129</v>
      </c>
      <c r="B2" s="6"/>
      <c r="C2" s="6"/>
      <c r="D2" s="6"/>
      <c r="E2" s="6"/>
      <c r="F2" s="6"/>
      <c r="G2" s="6"/>
    </row>
    <row r="4" spans="1:7" ht="21.75" customHeight="1" x14ac:dyDescent="0.2">
      <c r="A4" s="5" t="s">
        <v>130</v>
      </c>
      <c r="B4" s="5"/>
      <c r="C4" s="5"/>
      <c r="D4" s="5"/>
      <c r="E4" s="5"/>
      <c r="F4" s="5"/>
      <c r="G4" s="5"/>
    </row>
    <row r="5" spans="1:7" ht="26.75" customHeight="1" x14ac:dyDescent="0.2">
      <c r="B5" s="8" t="s">
        <v>131</v>
      </c>
      <c r="C5" s="8"/>
      <c r="D5" s="8"/>
      <c r="E5" s="8"/>
      <c r="F5" s="8"/>
    </row>
    <row r="7" spans="1:7" ht="21.75" customHeight="1" x14ac:dyDescent="0.2">
      <c r="A7" s="5" t="s">
        <v>132</v>
      </c>
      <c r="B7" s="5"/>
      <c r="C7" s="5"/>
      <c r="D7" s="5"/>
      <c r="E7" s="5"/>
      <c r="F7" s="5"/>
      <c r="G7" s="5"/>
    </row>
    <row r="8" spans="1:7" x14ac:dyDescent="0.2">
      <c r="B8" s="12" t="s">
        <v>133</v>
      </c>
      <c r="C8" s="12" t="s">
        <v>134</v>
      </c>
      <c r="D8" s="12"/>
      <c r="E8" s="12"/>
      <c r="F8" s="12"/>
      <c r="G8" s="12"/>
    </row>
    <row r="9" spans="1:7" ht="30" x14ac:dyDescent="0.2">
      <c r="B9" s="29" t="s">
        <v>135</v>
      </c>
      <c r="C9" s="18"/>
      <c r="D9" s="19" t="str">
        <f>IF(C9="","",IF(ABS(C9-42)&lt;0.05,"✅","❌"))</f>
        <v/>
      </c>
    </row>
    <row r="10" spans="1:7" ht="30" x14ac:dyDescent="0.2">
      <c r="B10" s="29" t="s">
        <v>136</v>
      </c>
      <c r="C10" s="18"/>
      <c r="D10" s="19" t="str">
        <f>IF(C10="","",IF(ABS(C10-1.5)&lt;0.05,"✅","❌"))</f>
        <v/>
      </c>
    </row>
    <row r="12" spans="1:7" ht="21.75" customHeight="1" x14ac:dyDescent="0.2">
      <c r="A12" s="5" t="s">
        <v>137</v>
      </c>
      <c r="B12" s="5"/>
      <c r="C12" s="5"/>
      <c r="D12" s="5"/>
      <c r="E12" s="5"/>
      <c r="F12" s="5"/>
      <c r="G12" s="5"/>
    </row>
    <row r="13" spans="1:7" ht="26.75" customHeight="1" x14ac:dyDescent="0.2">
      <c r="B13" s="8" t="s">
        <v>138</v>
      </c>
      <c r="C13" s="8"/>
      <c r="D13" s="8"/>
      <c r="E13" s="8"/>
      <c r="F13" s="8"/>
    </row>
    <row r="14" spans="1:7" ht="45" x14ac:dyDescent="0.2">
      <c r="B14" s="12" t="s">
        <v>139</v>
      </c>
      <c r="C14" s="12" t="s">
        <v>140</v>
      </c>
      <c r="D14" s="12" t="s">
        <v>24</v>
      </c>
      <c r="E14" s="12"/>
      <c r="F14" s="12"/>
      <c r="G14" s="12"/>
    </row>
    <row r="15" spans="1:7" ht="16" x14ac:dyDescent="0.2">
      <c r="B15" s="25">
        <v>0</v>
      </c>
      <c r="C15" s="18"/>
      <c r="D15" s="19" t="str">
        <f>IF(C15="","",IF(ABS(C15-42)&lt;0.05,"✅","❌"))</f>
        <v/>
      </c>
    </row>
    <row r="16" spans="1:7" ht="16" x14ac:dyDescent="0.2">
      <c r="B16" s="25">
        <v>2</v>
      </c>
      <c r="C16" s="18"/>
      <c r="D16" s="19" t="str">
        <f>IF(C16="","",IF(ABS(C16-45)&lt;0.05,"✅","❌"))</f>
        <v/>
      </c>
    </row>
    <row r="17" spans="1:7" ht="16" x14ac:dyDescent="0.2">
      <c r="B17" s="25">
        <v>4</v>
      </c>
      <c r="C17" s="18"/>
      <c r="D17" s="19" t="str">
        <f>IF(C17="","",IF(ABS(C17-48)&lt;0.05,"✅","❌"))</f>
        <v/>
      </c>
    </row>
    <row r="18" spans="1:7" ht="16" x14ac:dyDescent="0.2">
      <c r="B18" s="25">
        <v>6</v>
      </c>
      <c r="C18" s="18"/>
      <c r="D18" s="19" t="str">
        <f>IF(C18="","",IF(ABS(C18-51)&lt;0.05,"✅","❌"))</f>
        <v/>
      </c>
    </row>
    <row r="19" spans="1:7" ht="16" x14ac:dyDescent="0.2">
      <c r="B19" s="25">
        <v>8</v>
      </c>
      <c r="C19" s="18"/>
      <c r="D19" s="19" t="str">
        <f>IF(C19="","",IF(ABS(C19-54)&lt;0.05,"✅","❌"))</f>
        <v/>
      </c>
    </row>
    <row r="20" spans="1:7" ht="16" x14ac:dyDescent="0.2">
      <c r="B20" s="25">
        <v>10</v>
      </c>
      <c r="C20" s="18"/>
      <c r="D20" s="19" t="str">
        <f>IF(C20="","",IF(ABS(C20-57)&lt;0.05,"✅","❌"))</f>
        <v/>
      </c>
    </row>
    <row r="22" spans="1:7" ht="21.75" customHeight="1" x14ac:dyDescent="0.2">
      <c r="A22" s="5" t="s">
        <v>141</v>
      </c>
      <c r="B22" s="5"/>
      <c r="C22" s="5"/>
      <c r="D22" s="5"/>
      <c r="E22" s="5"/>
      <c r="F22" s="5"/>
      <c r="G22" s="5"/>
    </row>
    <row r="23" spans="1:7" x14ac:dyDescent="0.2">
      <c r="B23" s="12" t="s">
        <v>48</v>
      </c>
      <c r="C23" s="12" t="s">
        <v>49</v>
      </c>
      <c r="D23" s="12" t="s">
        <v>24</v>
      </c>
      <c r="E23" s="12" t="s">
        <v>50</v>
      </c>
      <c r="F23" s="12"/>
      <c r="G23" s="12"/>
    </row>
    <row r="24" spans="1:7" ht="39.5" customHeight="1" x14ac:dyDescent="0.2">
      <c r="B24" s="21" t="s">
        <v>142</v>
      </c>
      <c r="C24" s="18"/>
      <c r="D24" s="19" t="str">
        <f>IF(C24="","",IF(ABS(C24-1.5)&lt;0.05,"✅","❌"))</f>
        <v/>
      </c>
      <c r="E24" s="8" t="s">
        <v>143</v>
      </c>
      <c r="F24" s="8"/>
    </row>
    <row r="25" spans="1:7" ht="15" customHeight="1" x14ac:dyDescent="0.2">
      <c r="B25" s="24" t="s">
        <v>144</v>
      </c>
      <c r="C25" s="18"/>
      <c r="D25" s="19" t="str">
        <f>IF(C25="","",IF(ABS(C25-42)&lt;0.05,"✅","❌"))</f>
        <v/>
      </c>
      <c r="E25" s="8" t="s">
        <v>145</v>
      </c>
      <c r="F25" s="8"/>
    </row>
    <row r="26" spans="1:7" ht="26.75" customHeight="1" x14ac:dyDescent="0.2">
      <c r="B26" s="21" t="s">
        <v>146</v>
      </c>
      <c r="C26" s="18"/>
      <c r="D26" s="19" t="str">
        <f>IF(C26="","",IF(ABS(C26-72)&lt;0.05,"✅","❌"))</f>
        <v/>
      </c>
      <c r="E26" s="8" t="s">
        <v>147</v>
      </c>
      <c r="F26" s="8"/>
    </row>
    <row r="27" spans="1:7" ht="26.75" customHeight="1" x14ac:dyDescent="0.2">
      <c r="B27" s="24" t="s">
        <v>148</v>
      </c>
      <c r="C27" s="18"/>
      <c r="D27" s="19" t="str">
        <f>IF(C27="","",IF(ABS(C27-12)&lt;0.05,"✅","❌"))</f>
        <v/>
      </c>
      <c r="E27" s="8" t="s">
        <v>149</v>
      </c>
      <c r="F27" s="8"/>
    </row>
    <row r="29" spans="1:7" ht="21.75" customHeight="1" x14ac:dyDescent="0.2">
      <c r="A29" s="5" t="s">
        <v>150</v>
      </c>
      <c r="B29" s="5"/>
      <c r="C29" s="5"/>
      <c r="D29" s="5"/>
      <c r="E29" s="5"/>
      <c r="F29" s="5"/>
      <c r="G29" s="5"/>
    </row>
    <row r="30" spans="1:7" ht="26.75" customHeight="1" x14ac:dyDescent="0.2">
      <c r="B30" s="8" t="s">
        <v>151</v>
      </c>
      <c r="C30" s="8"/>
      <c r="D30" s="8"/>
      <c r="E30" s="8"/>
      <c r="F30" s="8"/>
    </row>
    <row r="31" spans="1:7" ht="27.75" customHeight="1" x14ac:dyDescent="0.2">
      <c r="B31" s="2"/>
      <c r="C31" s="2"/>
      <c r="D31" s="2"/>
      <c r="E31" s="2"/>
      <c r="F31" s="2"/>
    </row>
    <row r="32" spans="1:7" ht="26.75" customHeight="1" x14ac:dyDescent="0.2">
      <c r="B32" s="8" t="s">
        <v>152</v>
      </c>
      <c r="C32" s="8"/>
      <c r="D32" s="8"/>
      <c r="E32" s="8"/>
      <c r="F32" s="8"/>
    </row>
    <row r="33" spans="1:7" ht="27.75" customHeight="1" x14ac:dyDescent="0.2">
      <c r="B33" s="2"/>
      <c r="C33" s="2"/>
      <c r="D33" s="2"/>
      <c r="E33" s="2"/>
      <c r="F33" s="2"/>
    </row>
    <row r="34" spans="1:7" ht="26.75" customHeight="1" x14ac:dyDescent="0.2">
      <c r="B34" s="8" t="s">
        <v>153</v>
      </c>
      <c r="C34" s="8"/>
      <c r="D34" s="8"/>
      <c r="E34" s="8"/>
      <c r="F34" s="8"/>
    </row>
    <row r="35" spans="1:7" ht="27.75" customHeight="1" x14ac:dyDescent="0.2">
      <c r="B35" s="2"/>
      <c r="C35" s="2"/>
      <c r="D35" s="2"/>
      <c r="E35" s="2"/>
      <c r="F35" s="2"/>
    </row>
    <row r="37" spans="1:7" ht="15" customHeight="1" x14ac:dyDescent="0.2">
      <c r="A37" s="1" t="s">
        <v>154</v>
      </c>
      <c r="B37" s="1"/>
      <c r="C37" s="1"/>
      <c r="D37" s="1"/>
      <c r="E37" s="1"/>
      <c r="F37" s="1"/>
      <c r="G37" s="1"/>
    </row>
  </sheetData>
  <mergeCells count="20">
    <mergeCell ref="B32:F32"/>
    <mergeCell ref="B33:F33"/>
    <mergeCell ref="B34:F34"/>
    <mergeCell ref="B35:F35"/>
    <mergeCell ref="A37:G37"/>
    <mergeCell ref="E26:F26"/>
    <mergeCell ref="E27:F27"/>
    <mergeCell ref="A29:G29"/>
    <mergeCell ref="B30:F30"/>
    <mergeCell ref="B31:F31"/>
    <mergeCell ref="A12:G12"/>
    <mergeCell ref="B13:F13"/>
    <mergeCell ref="A22:G22"/>
    <mergeCell ref="E24:F24"/>
    <mergeCell ref="E25:F25"/>
    <mergeCell ref="A1:G1"/>
    <mergeCell ref="A2:G2"/>
    <mergeCell ref="A4:G4"/>
    <mergeCell ref="B5:F5"/>
    <mergeCell ref="A7:G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Instructions</vt:lpstr>
      <vt:lpstr>Q1 m and c</vt:lpstr>
      <vt:lpstr>Q2 Picnic+</vt:lpstr>
      <vt:lpstr>Q3 Direct Var</vt:lpstr>
      <vt:lpstr>Q4 Interp-Extrap</vt:lpstr>
      <vt:lpstr>Q5 Build 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Yenul Weerabahu</cp:lastModifiedBy>
  <cp:revision>1</cp:revision>
  <dcterms:created xsi:type="dcterms:W3CDTF">2026-07-02T11:20:22Z</dcterms:created>
  <dcterms:modified xsi:type="dcterms:W3CDTF">2026-07-02T11:30:49Z</dcterms:modified>
  <dc:language>en-US</dc:language>
</cp:coreProperties>
</file>