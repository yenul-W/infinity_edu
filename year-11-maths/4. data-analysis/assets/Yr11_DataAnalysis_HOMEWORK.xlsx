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w/Downloads/files/"/>
    </mc:Choice>
  </mc:AlternateContent>
  <xr:revisionPtr revIDLastSave="0" documentId="13_ncr:1_{53038E87-44C4-154C-AE94-54ABF272BD41}" xr6:coauthVersionLast="47" xr6:coauthVersionMax="47" xr10:uidLastSave="{00000000-0000-0000-0000-000000000000}"/>
  <bookViews>
    <workbookView xWindow="0" yWindow="620" windowWidth="37180" windowHeight="21000" tabRatio="500" xr2:uid="{00000000-000D-0000-FFFF-FFFF00000000}"/>
  </bookViews>
  <sheets>
    <sheet name="📋 Instructions" sheetId="1" r:id="rId1"/>
    <sheet name="Q1 Classification" sheetId="2" r:id="rId2"/>
    <sheet name="Q2 Freq Tables" sheetId="3" r:id="rId3"/>
    <sheet name="Q3 Centre &amp; Shape" sheetId="4" r:id="rId4"/>
    <sheet name="Q4 Spread" sheetId="5" r:id="rId5"/>
    <sheet name="Q5 Quartiles IQR" sheetId="6" r:id="rId6"/>
    <sheet name="Q6 Extended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6" i="7" l="1"/>
  <c r="D55" i="7"/>
  <c r="E51" i="7"/>
  <c r="E50" i="7"/>
  <c r="E49" i="7"/>
  <c r="E48" i="7"/>
  <c r="E47" i="7"/>
  <c r="E46" i="7"/>
  <c r="E45" i="7"/>
  <c r="E44" i="7"/>
  <c r="E43" i="7"/>
  <c r="D42" i="6"/>
  <c r="D41" i="6"/>
  <c r="D40" i="6"/>
  <c r="D39" i="6"/>
  <c r="D38" i="6"/>
  <c r="D30" i="6"/>
  <c r="D29" i="6"/>
  <c r="D28" i="6"/>
  <c r="E24" i="6"/>
  <c r="E23" i="6"/>
  <c r="E22" i="6"/>
  <c r="E21" i="6"/>
  <c r="E20" i="6"/>
  <c r="G16" i="6"/>
  <c r="G15" i="6"/>
  <c r="G14" i="6"/>
  <c r="G13" i="6"/>
  <c r="E43" i="5"/>
  <c r="E42" i="5"/>
  <c r="E41" i="5"/>
  <c r="D27" i="5"/>
  <c r="D26" i="5"/>
  <c r="D25" i="5"/>
  <c r="D24" i="5"/>
  <c r="D23" i="5"/>
  <c r="E19" i="5"/>
  <c r="F18" i="5"/>
  <c r="F17" i="5"/>
  <c r="F16" i="5"/>
  <c r="F15" i="5"/>
  <c r="F14" i="5"/>
  <c r="F13" i="5"/>
  <c r="F12" i="5"/>
  <c r="F11" i="5"/>
  <c r="F10" i="5"/>
  <c r="F9" i="5"/>
  <c r="F8" i="5"/>
  <c r="F7" i="5"/>
  <c r="D38" i="4"/>
  <c r="D37" i="4"/>
  <c r="D21" i="4"/>
  <c r="D20" i="4"/>
  <c r="D19" i="4"/>
  <c r="D33" i="3"/>
  <c r="G32" i="3"/>
  <c r="E32" i="3"/>
  <c r="G31" i="3"/>
  <c r="E31" i="3"/>
  <c r="G30" i="3"/>
  <c r="E30" i="3"/>
  <c r="G29" i="3"/>
  <c r="E29" i="3"/>
  <c r="E24" i="3"/>
  <c r="C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D32" i="2"/>
  <c r="D31" i="2"/>
  <c r="D30" i="2"/>
  <c r="D29" i="2"/>
  <c r="D28" i="2"/>
  <c r="D27" i="2"/>
  <c r="D23" i="2"/>
  <c r="D22" i="2"/>
  <c r="D21" i="2"/>
  <c r="D20" i="2"/>
  <c r="D19" i="2"/>
  <c r="D18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<sst xmlns="http://schemas.openxmlformats.org/spreadsheetml/2006/main" count="299" uniqueCount="248">
  <si>
    <t>Year 11 Standard Maths – Data Analysis Homework</t>
  </si>
  <si>
    <t>Homework Workbook</t>
  </si>
  <si>
    <t>📌 Instructions:</t>
  </si>
  <si>
    <t>1. Enter answers in YELLOW cells. ✅ appears when correct (within 0.05), ❌ means try again.</t>
  </si>
  <si>
    <t>2. For written questions, type your answer in the expanded yellow cell.</t>
  </si>
  <si>
    <t>3. For classification questions, type the correct term into the yellow cell.</t>
  </si>
  <si>
    <t>4. Show all working — formula hints are provided where needed.</t>
  </si>
  <si>
    <t>5. ⭐ = straight recall  ⭐⭐ = multi-step  ⭐⭐⭐ = extended problem solving</t>
  </si>
  <si>
    <t>Sheet</t>
  </si>
  <si>
    <t>Questions</t>
  </si>
  <si>
    <t>Q1 Classification</t>
  </si>
  <si>
    <t>Classify variables as numerical/categorical, discrete/continuous, nominal/ordinal</t>
  </si>
  <si>
    <t>Q2 Freq Tables</t>
  </si>
  <si>
    <t>Grouped frequency table, class centres, cumulative frequency, relative frequency</t>
  </si>
  <si>
    <t>Q3 Centre &amp; Shape</t>
  </si>
  <si>
    <t>Mean, median, mode, skewness, best measure of centre</t>
  </si>
  <si>
    <t>Q4 Spread</t>
  </si>
  <si>
    <t>Range, standard deviation, comparing two datasets</t>
  </si>
  <si>
    <t>Q5 Quartiles IQR</t>
  </si>
  <si>
    <t>Five-number summary, IQR, outlier detection, box plot values</t>
  </si>
  <si>
    <t>Q6 Extended</t>
  </si>
  <si>
    <t>Full statistical investigation: weather data, all measures, interpretation</t>
  </si>
  <si>
    <t>Q1 – Data Classification (⭐)</t>
  </si>
  <si>
    <t>Type the correct classification in each YELLOW cell. Use exact terms from the syllabus.</t>
  </si>
  <si>
    <t>Part A – Numerical or Categorical?</t>
  </si>
  <si>
    <t>For each variable below, decide if it is Numerical or Categorical.</t>
  </si>
  <si>
    <t>Variable</t>
  </si>
  <si>
    <t>Your answer</t>
  </si>
  <si>
    <t>✅/❌</t>
  </si>
  <si>
    <t>Hint</t>
  </si>
  <si>
    <t>Number of pets owned</t>
  </si>
  <si>
    <t>Can you count it? Is it a number?</t>
  </si>
  <si>
    <t>Favourite music genre</t>
  </si>
  <si>
    <t>Is it a group/label?</t>
  </si>
  <si>
    <t>Time to run 100m (seconds)</t>
  </si>
  <si>
    <t>Is it measured?</t>
  </si>
  <si>
    <t>Blood type (A, B, AB, O)</t>
  </si>
  <si>
    <t>Is it a label/group?</t>
  </si>
  <si>
    <t>Number of goals scored</t>
  </si>
  <si>
    <t>Can you count it?</t>
  </si>
  <si>
    <t>Postcode</t>
  </si>
  <si>
    <t>Does averaging make sense?</t>
  </si>
  <si>
    <t>Height (cm)</t>
  </si>
  <si>
    <t>Measured to decimal places</t>
  </si>
  <si>
    <t>Movie rating (G, PG, M, MA, R)</t>
  </si>
  <si>
    <t>Is there an order?</t>
  </si>
  <si>
    <t>Part B – Discrete or Continuous? (Numerical variables only)</t>
  </si>
  <si>
    <t>Number of students absent</t>
  </si>
  <si>
    <t>Whole numbers only — can you have 2.5 absences?</t>
  </si>
  <si>
    <t>Weight of a baby (kg)</t>
  </si>
  <si>
    <t>Measured to any decimal</t>
  </si>
  <si>
    <t>Shoe size</t>
  </si>
  <si>
    <t>Countable whole sizes (or half sizes)</t>
  </si>
  <si>
    <t>Temperature at 3pm (°C)</t>
  </si>
  <si>
    <t>Can take any decimal value</t>
  </si>
  <si>
    <t>Number of text messages sent</t>
  </si>
  <si>
    <t>Must be a whole number</t>
  </si>
  <si>
    <t>Volume of water in a tank (L)</t>
  </si>
  <si>
    <t>Any decimal value possible</t>
  </si>
  <si>
    <t>Part C – Nominal or Ordinal? (Categorical variables only)</t>
  </si>
  <si>
    <t>Country of birth</t>
  </si>
  <si>
    <t>Can you rank countries? No meaningful order.</t>
  </si>
  <si>
    <t>Education level (Primary, Secondary, Tertiary)</t>
  </si>
  <si>
    <t>Clear ordering from lower to higher</t>
  </si>
  <si>
    <t>Car colour</t>
  </si>
  <si>
    <t>No natural rank order</t>
  </si>
  <si>
    <t>Spiciness level (mild, medium, hot, extra hot)</t>
  </si>
  <si>
    <t>Has a natural ranking</t>
  </si>
  <si>
    <t>Species of bird</t>
  </si>
  <si>
    <t>No meaningful order among species</t>
  </si>
  <si>
    <t>Pain rating (none, mild, moderate, severe)</t>
  </si>
  <si>
    <t>Natural order from less to more</t>
  </si>
  <si>
    <t>💡 Remember: NUMERICAL data can have mean and median calculated. CATEGORICAL data uses mode only.</t>
  </si>
  <si>
    <t>Q2 – Frequency Tables &amp; Distribution (⭐⭐)</t>
  </si>
  <si>
    <t>Complete each yellow cell using the raw data provided.</t>
  </si>
  <si>
    <t>Dataset: Number of hours of social media use per day (25 students)</t>
  </si>
  <si>
    <t>Raw data:</t>
  </si>
  <si>
    <t>Value 1</t>
  </si>
  <si>
    <t>Value 2</t>
  </si>
  <si>
    <t>Value 3</t>
  </si>
  <si>
    <t>Value 4</t>
  </si>
  <si>
    <t>Value 5</t>
  </si>
  <si>
    <t>Part A – Ungrouped Frequency Table</t>
  </si>
  <si>
    <t>Count the occurrences of each value and complete the table.</t>
  </si>
  <si>
    <t>Hours/day</t>
  </si>
  <si>
    <t>Frequency (f)</t>
  </si>
  <si>
    <t>Check ✅/❌</t>
  </si>
  <si>
    <t>Relative Freq (%)</t>
  </si>
  <si>
    <t>Cumulative Freq</t>
  </si>
  <si>
    <t>TOTAL</t>
  </si>
  <si>
    <t>Part B – Grouped Frequency Table (class width = 2)</t>
  </si>
  <si>
    <t>Group the data into class intervals of width 2, starting at 1.</t>
  </si>
  <si>
    <t>Class Interval</t>
  </si>
  <si>
    <t>Class Centre</t>
  </si>
  <si>
    <t>1 – 2</t>
  </si>
  <si>
    <t>3 – 4</t>
  </si>
  <si>
    <t>5 – 6</t>
  </si>
  <si>
    <t>7 – 8</t>
  </si>
  <si>
    <t>Part C – Written Analysis</t>
  </si>
  <si>
    <t>1. What type of graph would best display the ungrouped frequency table? Justify your choice.</t>
  </si>
  <si>
    <t>2. Describe the shape of the distribution (symmetric/positively skewed/negatively skewed).</t>
  </si>
  <si>
    <t>3. Why might grouped data be preferred over ungrouped for a larger dataset?</t>
  </si>
  <si>
    <t>Q3 – Measures of Centre &amp; Shape (⭐⭐)</t>
  </si>
  <si>
    <t>Enter numerical answers in YELLOW cells. Written answers in expanded cells.</t>
  </si>
  <si>
    <t>Dataset: Number of hours worked per week by 18 casual workers</t>
  </si>
  <si>
    <t>Raw data is below:</t>
  </si>
  <si>
    <t>Worker</t>
  </si>
  <si>
    <t>Hours/wk</t>
  </si>
  <si>
    <t>Part A – Calculate Measures of Centre</t>
  </si>
  <si>
    <t>Measure</t>
  </si>
  <si>
    <t>Your Answer</t>
  </si>
  <si>
    <t>Formula hint</t>
  </si>
  <si>
    <t>Mean (to 2 d.p.)</t>
  </si>
  <si>
    <t>sum ÷ count</t>
  </si>
  <si>
    <t>Median</t>
  </si>
  <si>
    <t>middle value when sorted</t>
  </si>
  <si>
    <t>Range</t>
  </si>
  <si>
    <t>max − min</t>
  </si>
  <si>
    <t>Part B – Shape Analysis</t>
  </si>
  <si>
    <t>1. Is the distribution symmetric, positively skewed or negatively skewed? Explain using mean vs median.</t>
  </si>
  <si>
    <t>Mean=22.78, Median=21.0 — which is larger?</t>
  </si>
  <si>
    <t>2. The values 40 and 45 are much higher than the rest. What type of values might these be?</t>
  </si>
  <si>
    <t>Think: do they fit the general pattern? What term describes extreme values?</t>
  </si>
  <si>
    <t>3. Which measure of centre — mean or median — is more appropriate here? Why?</t>
  </si>
  <si>
    <t>Consider the effect of 40 and 45 on the mean vs median.</t>
  </si>
  <si>
    <t>Part C – Salary Dataset</t>
  </si>
  <si>
    <t>8 staff at a small company earn the following monthly salaries ($):</t>
  </si>
  <si>
    <t>Question</t>
  </si>
  <si>
    <t>Mean salary</t>
  </si>
  <si>
    <t>SUM÷8</t>
  </si>
  <si>
    <t>Median salary</t>
  </si>
  <si>
    <t>Sort, find middle 2, average them</t>
  </si>
  <si>
    <t>The $12,000 salary belongs to the CEO. Should the mean or median be reported as the 'typical' salary? Explain.</t>
  </si>
  <si>
    <t>💡 The shape rule: if Mean &gt; Median → positive skew. If Mean &lt; Median → negative skew. If Mean ≈ Median → symmetric.</t>
  </si>
  <si>
    <t>Q4 – Measures of Spread (⭐⭐)</t>
  </si>
  <si>
    <t>Enter numerical answers in YELLOW cells.</t>
  </si>
  <si>
    <t>Dataset: UV Index readings for 12 consecutive days</t>
  </si>
  <si>
    <t>Day</t>
  </si>
  <si>
    <t>UV Index</t>
  </si>
  <si>
    <t>Deviation (x−x̄)</t>
  </si>
  <si>
    <t>Deviation² (x−x̄)²</t>
  </si>
  <si>
    <t>SUM</t>
  </si>
  <si>
    <t>Part A – Calculate Spread Statistics</t>
  </si>
  <si>
    <t>Statistic</t>
  </si>
  <si>
    <t>Mean (x̄)</t>
  </si>
  <si>
    <t>Σx ÷ n</t>
  </si>
  <si>
    <t>Sum of squared deviations (Σ(x−x̄)²)</t>
  </si>
  <si>
    <t>Sum the last column</t>
  </si>
  <si>
    <t>Variance (σ²) = Σ(x−x̄)² ÷ n</t>
  </si>
  <si>
    <t>SUM(deviations²) ÷ 12</t>
  </si>
  <si>
    <t>Population std dev σ = √variance</t>
  </si>
  <si>
    <t>SQRT(variance)</t>
  </si>
  <si>
    <t>Part B – Compare Two Datasets</t>
  </si>
  <si>
    <t>Two athletes track their competition scores over 8 rounds.</t>
  </si>
  <si>
    <t>Score</t>
  </si>
  <si>
    <t>Athlete A</t>
  </si>
  <si>
    <t>Athlete B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</si>
  <si>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</si>
  <si>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</si>
  <si>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</si>
  <si>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</si>
  <si>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</si>
  <si>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</si>
  <si>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</si>
  <si>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</si>
  <si>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✅/❌ A</t>
  </si>
  <si>
    <t>✅/❌ B</t>
  </si>
  <si>
    <t>Mean</t>
  </si>
  <si>
    <t>Std Dev σ</t>
  </si>
  <si>
    <t>1. Compare the means. Which athlete performs better on average?</t>
  </si>
  <si>
    <t>2. Compare the standard deviations. Which athlete is more consistent?</t>
  </si>
  <si>
    <t>3. Which athlete would you prefer if you needed a reliable score of 80+ every round? Explain.</t>
  </si>
  <si>
    <t>Q5 – Five-Number Summary, IQR &amp; Outliers (⭐⭐)</t>
  </si>
  <si>
    <t>Dataset: Test scores for 20 students</t>
  </si>
  <si>
    <t>Raw scores (not yet sorted):</t>
  </si>
  <si>
    <t>Part A: Sort the data in ascending order in the cells below:</t>
  </si>
  <si>
    <t>Pos 1</t>
  </si>
  <si>
    <t>Pos 2</t>
  </si>
  <si>
    <t>Pos 3</t>
  </si>
  <si>
    <t>Pos 4</t>
  </si>
  <si>
    <t>Pos 5</t>
  </si>
  <si>
    <t>Part B – Five-Number Summary</t>
  </si>
  <si>
    <t>Symbol</t>
  </si>
  <si>
    <t>Minimum</t>
  </si>
  <si>
    <t>Min</t>
  </si>
  <si>
    <t>Lower Quartile</t>
  </si>
  <si>
    <t>Q1</t>
  </si>
  <si>
    <t>Q2</t>
  </si>
  <si>
    <t>Upper Quartile</t>
  </si>
  <si>
    <t>Q3</t>
  </si>
  <si>
    <t>Maximum</t>
  </si>
  <si>
    <t>Max</t>
  </si>
  <si>
    <t>Part C – IQR &amp; Outlier Detection</t>
  </si>
  <si>
    <t>Calculation</t>
  </si>
  <si>
    <t>Formula</t>
  </si>
  <si>
    <t>IQR = Q3 − Q1</t>
  </si>
  <si>
    <t>Q3 minus Q1</t>
  </si>
  <si>
    <t>Lower Fence = Q1 − 1.5×IQR</t>
  </si>
  <si>
    <t>Q1 − 1.5 × IQR</t>
  </si>
  <si>
    <t>Upper Fence = Q3 + 1.5×IQR</t>
  </si>
  <si>
    <t>Q3 + 1.5 × IQR</t>
  </si>
  <si>
    <t>List any outliers (values outside the fences). Fences are [23.6, 116.6]:</t>
  </si>
  <si>
    <t>Part D – Box Plot Values</t>
  </si>
  <si>
    <t>A box plot needs 5 values. List them in order:</t>
  </si>
  <si>
    <t>Element</t>
  </si>
  <si>
    <t>Value</t>
  </si>
  <si>
    <t>Position</t>
  </si>
  <si>
    <t>Minimum whisker</t>
  </si>
  <si>
    <t>Left end of left whisker</t>
  </si>
  <si>
    <t>Q1 (left box edge)</t>
  </si>
  <si>
    <t>Left side of box</t>
  </si>
  <si>
    <t>Median line</t>
  </si>
  <si>
    <t>Line inside box</t>
  </si>
  <si>
    <t>Q3 (right box edge)</t>
  </si>
  <si>
    <t>Right side of box</t>
  </si>
  <si>
    <t>Maximum whisker</t>
  </si>
  <si>
    <t>Right end of right whisker</t>
  </si>
  <si>
    <t>💡 If there are outliers, the whisker stops at the last non-outlier value, and outliers are shown as individual dots.</t>
  </si>
  <si>
    <t>Q6 – Full Statistical Investigation: Climate Data (⭐⭐⭐)</t>
  </si>
  <si>
    <t>A complete investigation using all skills from this topic.</t>
  </si>
  <si>
    <t>Background</t>
  </si>
  <si>
    <t>A student collects the maximum daily temperature (°C) for the month of January in two Australian cities:</t>
  </si>
  <si>
    <t>City A (°C)</t>
  </si>
  <si>
    <t>City B (°C)</t>
  </si>
  <si>
    <t>Notes</t>
  </si>
  <si>
    <t>Part A – Calculate Statistics for BOTH Cities</t>
  </si>
  <si>
    <t>Use Excel formulas (AVERAGE, MEDIAN, MIN, MAX, QUARTILE, STDEVP) for each city.</t>
  </si>
  <si>
    <t>City A – Your Answer</t>
  </si>
  <si>
    <t>City B – Your Answer</t>
  </si>
  <si>
    <t>IQR</t>
  </si>
  <si>
    <t>Population Std Dev σ</t>
  </si>
  <si>
    <t>Part B – Outlier Detection for City A</t>
  </si>
  <si>
    <t>Lower Fence</t>
  </si>
  <si>
    <t>Q1 − 1.5×IQR</t>
  </si>
  <si>
    <t>Upper Fence</t>
  </si>
  <si>
    <t>Q3 + 1.5×IQR</t>
  </si>
  <si>
    <t>Are there any outliers in City A's data? List them (or write 'none').</t>
  </si>
  <si>
    <t>Part C – Compare and Interpret (written responses)</t>
  </si>
  <si>
    <t>1. ⭐⭐ Compare the mean and median for each city. What does this tell us about the shape of each distribution?</t>
  </si>
  <si>
    <t>City A: Mean=34.5, Median=35. City B: Mean=28.4, Median=28</t>
  </si>
  <si>
    <t>2. ⭐⭐ Which city has more variable temperatures? Use standard deviation to justify your answer.</t>
  </si>
  <si>
    <t>Compare σ values — larger σ = more spread</t>
  </si>
  <si>
    <t>3. ⭐⭐ If a tourist wants predictable weather, which city should they visit? Use statistics to justify.</t>
  </si>
  <si>
    <t>Think about consistency — which measure of spread is relevant?</t>
  </si>
  <si>
    <t>4. ⭐⭐⭐ A journalist reports 'City A's average temperature was 34.5°C in January.' Is mean the best measure to use here? Why or why not?</t>
  </si>
  <si>
    <t>Is the data skewed? Are there outliers? Which measure is more representative?</t>
  </si>
  <si>
    <t>5. ⭐⭐⭐ Identify and describe the shape of each distribution. What real-world factors might explain the difference in shapes between the two cities?</t>
  </si>
  <si>
    <t>City A has more extreme hot days. City B is more consistent. Think climate/geography.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</si>
</sst>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10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7" borderId="3" xfId="0" applyFill="1" applyBorder="1"/>
    <xf numFmtId="0" fontId="0" fillId="7" borderId="2" xfId="0" applyFill="1" applyBorder="1"/>
    <xf numFmtId="0" fontId="0" fillId="7" borderId="2" xfId="0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/>
    <xf numFmtId="0" fontId="0" fillId="5" borderId="0" xfId="0" applyFill="1" applyAlignment="1">
      <alignment horizontal="left" vertical="center" wrapText="1"/>
    </xf>
    <xf numFmtId="0" fontId="5" fillId="6" borderId="0" xfId="0" applyFont="1" applyFill="1"/>
    <xf numFmtId="0" fontId="0" fillId="6" borderId="0" xfId="0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left" vertical="center" wrapText="1"/>
    </xf>
    <xf numFmtId="164" fontId="0" fillId="7" borderId="1" xfId="0" applyNumberForma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topLeftCell="B1" zoomScale="262" zoomScaleNormal="100" workbookViewId="0">
      <selection activeCell="M15" sqref="M15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16" customWidth="1"/>
    <col min="4" max="4" width="3" customWidth="1"/>
  </cols>
  <sheetData>
    <row r="1" spans="1:3" ht="30" customHeight="1" x14ac:dyDescent="0.2">
      <c r="A1" s="11" t="s">
        <v>0</v>
      </c>
      <c r="B1" s="11"/>
      <c r="C1" s="11"/>
    </row>
    <row r="2" spans="1:3" ht="30" customHeight="1" x14ac:dyDescent="0.2">
      <c r="A2" s="10" t="s">
        <v>1</v>
      </c>
      <c r="B2" s="10"/>
      <c r="C2" s="10"/>
    </row>
    <row r="4" spans="1:3" x14ac:dyDescent="0.2">
      <c r="B4" s="12" t="s">
        <v>2</v>
      </c>
    </row>
    <row r="5" spans="1:3" ht="26.75" customHeight="1" x14ac:dyDescent="0.2">
      <c r="B5" s="9" t="s">
        <v>3</v>
      </c>
      <c r="C5" s="9"/>
    </row>
    <row r="6" spans="1:3" ht="26.75" customHeight="1" x14ac:dyDescent="0.2">
      <c r="B6" s="9" t="s">
        <v>4</v>
      </c>
      <c r="C6" s="9"/>
    </row>
    <row r="7" spans="1:3" ht="26.75" customHeight="1" x14ac:dyDescent="0.2">
      <c r="B7" s="9" t="s">
        <v>5</v>
      </c>
      <c r="C7" s="9"/>
    </row>
    <row r="8" spans="1:3" ht="26.75" customHeight="1" x14ac:dyDescent="0.2">
      <c r="B8" s="9" t="s">
        <v>6</v>
      </c>
      <c r="C8" s="9"/>
    </row>
    <row r="9" spans="1:3" ht="26.75" customHeight="1" x14ac:dyDescent="0.2">
      <c r="B9" s="9" t="s">
        <v>7</v>
      </c>
      <c r="C9" s="9"/>
    </row>
    <row r="11" spans="1:3" x14ac:dyDescent="0.2">
      <c r="B11" s="13" t="s">
        <v>8</v>
      </c>
      <c r="C11" s="13" t="s">
        <v>9</v>
      </c>
    </row>
    <row r="12" spans="1:3" ht="80" x14ac:dyDescent="0.2">
      <c r="B12" s="14" t="s">
        <v>10</v>
      </c>
      <c r="C12" s="15" t="s">
        <v>11</v>
      </c>
    </row>
    <row r="13" spans="1:3" ht="80" x14ac:dyDescent="0.2">
      <c r="B13" s="16" t="s">
        <v>12</v>
      </c>
      <c r="C13" s="17" t="s">
        <v>13</v>
      </c>
    </row>
    <row r="14" spans="1:3" ht="64" x14ac:dyDescent="0.2">
      <c r="B14" s="14" t="s">
        <v>14</v>
      </c>
      <c r="C14" s="15" t="s">
        <v>15</v>
      </c>
    </row>
    <row r="15" spans="1:3" ht="64" x14ac:dyDescent="0.2">
      <c r="B15" s="16" t="s">
        <v>16</v>
      </c>
      <c r="C15" s="17" t="s">
        <v>17</v>
      </c>
    </row>
    <row r="16" spans="1:3" ht="64" x14ac:dyDescent="0.2">
      <c r="B16" s="14" t="s">
        <v>18</v>
      </c>
      <c r="C16" s="15" t="s">
        <v>19</v>
      </c>
    </row>
    <row r="17" spans="2:3" ht="80" x14ac:dyDescent="0.2">
      <c r="B17" s="16" t="s">
        <v>20</v>
      </c>
      <c r="C17" s="17" t="s">
        <v>21</v>
      </c>
    </row>
  </sheetData>
  <mergeCells count="7">
    <mergeCell ref="B8:C8"/>
    <mergeCell ref="B9:C9"/>
    <mergeCell ref="A1:C1"/>
    <mergeCell ref="A2:C2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zoomScaleNormal="100" workbookViewId="0">
      <selection activeCell="C8" sqref="C8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4" width="18" customWidth="1"/>
    <col min="5" max="5" width="14" customWidth="1"/>
    <col min="6" max="6" width="3" customWidth="1"/>
  </cols>
  <sheetData>
    <row r="1" spans="1:5" ht="30" customHeight="1" x14ac:dyDescent="0.2">
      <c r="A1" s="8" t="s">
        <v>22</v>
      </c>
      <c r="B1" s="8"/>
      <c r="C1" s="8"/>
      <c r="D1" s="8"/>
      <c r="E1" s="8"/>
    </row>
    <row r="2" spans="1:5" ht="15" customHeight="1" x14ac:dyDescent="0.2">
      <c r="A2" s="7" t="s">
        <v>23</v>
      </c>
      <c r="B2" s="7"/>
      <c r="C2" s="7"/>
      <c r="D2" s="7"/>
      <c r="E2" s="7"/>
    </row>
    <row r="4" spans="1:5" ht="21.75" customHeight="1" x14ac:dyDescent="0.2">
      <c r="A4" s="6" t="s">
        <v>24</v>
      </c>
      <c r="B4" s="6"/>
      <c r="C4" s="6"/>
      <c r="D4" s="6"/>
      <c r="E4" s="6"/>
    </row>
    <row r="5" spans="1:5" ht="15" customHeight="1" x14ac:dyDescent="0.2">
      <c r="B5" s="9" t="s">
        <v>25</v>
      </c>
      <c r="C5" s="9"/>
      <c r="D5" s="9"/>
      <c r="E5" s="9"/>
    </row>
    <row r="6" spans="1:5" x14ac:dyDescent="0.2">
      <c r="B6" s="13" t="s">
        <v>26</v>
      </c>
      <c r="C6" s="13" t="s">
        <v>27</v>
      </c>
      <c r="D6" s="13" t="s">
        <v>28</v>
      </c>
      <c r="E6" s="13" t="s">
        <v>29</v>
      </c>
    </row>
    <row r="7" spans="1:5" ht="48" x14ac:dyDescent="0.2">
      <c r="B7" s="18" t="s">
        <v>30</v>
      </c>
      <c r="C7" s="19"/>
      <c r="D7" s="20" t="str">
        <f>IF(C7="","",IF(LOWER(C7)=LOWER("Numerical"),"✅","❌"))</f>
        <v/>
      </c>
      <c r="E7" s="21" t="s">
        <v>31</v>
      </c>
    </row>
    <row r="8" spans="1:5" ht="32" x14ac:dyDescent="0.2">
      <c r="B8" s="22" t="s">
        <v>32</v>
      </c>
      <c r="C8" s="19"/>
      <c r="D8" s="20" t="str">
        <f>IF(C8="","",IF(LOWER(C8)=LOWER("Categorical"),"✅","❌"))</f>
        <v/>
      </c>
      <c r="E8" s="21" t="s">
        <v>33</v>
      </c>
    </row>
    <row r="9" spans="1:5" ht="16" x14ac:dyDescent="0.2">
      <c r="B9" s="18" t="s">
        <v>34</v>
      </c>
      <c r="C9" s="19"/>
      <c r="D9" s="20" t="str">
        <f>IF(C9="","",IF(LOWER(C9)=LOWER("Numerical"),"✅","❌"))</f>
        <v/>
      </c>
      <c r="E9" s="21" t="s">
        <v>35</v>
      </c>
    </row>
    <row r="10" spans="1:5" ht="32" x14ac:dyDescent="0.2">
      <c r="B10" s="22" t="s">
        <v>36</v>
      </c>
      <c r="C10" s="19"/>
      <c r="D10" s="20" t="str">
        <f>IF(C10="","",IF(LOWER(C10)=LOWER("Categorical"),"✅","❌"))</f>
        <v/>
      </c>
      <c r="E10" s="21" t="s">
        <v>37</v>
      </c>
    </row>
    <row r="11" spans="1:5" ht="32" x14ac:dyDescent="0.2">
      <c r="B11" s="18" t="s">
        <v>38</v>
      </c>
      <c r="C11" s="19"/>
      <c r="D11" s="20" t="str">
        <f>IF(C11="","",IF(LOWER(C11)=LOWER("Numerical"),"✅","❌"))</f>
        <v/>
      </c>
      <c r="E11" s="21" t="s">
        <v>39</v>
      </c>
    </row>
    <row r="12" spans="1:5" ht="32" x14ac:dyDescent="0.2">
      <c r="B12" s="22" t="s">
        <v>40</v>
      </c>
      <c r="C12" s="19"/>
      <c r="D12" s="20" t="str">
        <f>IF(C12="","",IF(LOWER(C12)=LOWER("Categorical"),"✅","❌"))</f>
        <v/>
      </c>
      <c r="E12" s="21" t="s">
        <v>41</v>
      </c>
    </row>
    <row r="13" spans="1:5" ht="32" x14ac:dyDescent="0.2">
      <c r="B13" s="18" t="s">
        <v>42</v>
      </c>
      <c r="C13" s="19"/>
      <c r="D13" s="20" t="str">
        <f>IF(C13="","",IF(LOWER(C13)=LOWER("Numerical"),"✅","❌"))</f>
        <v/>
      </c>
      <c r="E13" s="21" t="s">
        <v>43</v>
      </c>
    </row>
    <row r="14" spans="1:5" ht="32" x14ac:dyDescent="0.2">
      <c r="B14" s="22" t="s">
        <v>44</v>
      </c>
      <c r="C14" s="19"/>
      <c r="D14" s="20" t="str">
        <f>IF(C14="","",IF(LOWER(C14)=LOWER("Categorical"),"✅","❌"))</f>
        <v/>
      </c>
      <c r="E14" s="21" t="s">
        <v>45</v>
      </c>
    </row>
    <row r="16" spans="1:5" ht="21.75" customHeight="1" x14ac:dyDescent="0.2">
      <c r="A16" s="6" t="s">
        <v>46</v>
      </c>
      <c r="B16" s="6"/>
      <c r="C16" s="6"/>
      <c r="D16" s="6"/>
      <c r="E16" s="6"/>
    </row>
    <row r="17" spans="1:5" x14ac:dyDescent="0.2">
      <c r="B17" s="13" t="s">
        <v>26</v>
      </c>
      <c r="C17" s="13" t="s">
        <v>27</v>
      </c>
      <c r="D17" s="13" t="s">
        <v>28</v>
      </c>
      <c r="E17" s="13" t="s">
        <v>29</v>
      </c>
    </row>
    <row r="18" spans="1:5" ht="64" x14ac:dyDescent="0.2">
      <c r="B18" s="22" t="s">
        <v>47</v>
      </c>
      <c r="C18" s="19"/>
      <c r="D18" s="20" t="str">
        <f>IF(C18="","",IF(LOWER(C18)=LOWER("Discrete"),"✅","❌"))</f>
        <v/>
      </c>
      <c r="E18" s="21" t="s">
        <v>48</v>
      </c>
    </row>
    <row r="19" spans="1:5" ht="32" x14ac:dyDescent="0.2">
      <c r="B19" s="18" t="s">
        <v>49</v>
      </c>
      <c r="C19" s="19"/>
      <c r="D19" s="20" t="str">
        <f>IF(C19="","",IF(LOWER(C19)=LOWER("Continuous"),"✅","❌"))</f>
        <v/>
      </c>
      <c r="E19" s="21" t="s">
        <v>50</v>
      </c>
    </row>
    <row r="20" spans="1:5" ht="48" x14ac:dyDescent="0.2">
      <c r="B20" s="22" t="s">
        <v>51</v>
      </c>
      <c r="C20" s="19"/>
      <c r="D20" s="20" t="str">
        <f>IF(C20="","",IF(LOWER(C20)=LOWER("Discrete"),"✅","❌"))</f>
        <v/>
      </c>
      <c r="E20" s="21" t="s">
        <v>52</v>
      </c>
    </row>
    <row r="21" spans="1:5" ht="32" x14ac:dyDescent="0.2">
      <c r="B21" s="18" t="s">
        <v>53</v>
      </c>
      <c r="C21" s="19"/>
      <c r="D21" s="20" t="str">
        <f>IF(C21="","",IF(LOWER(C21)=LOWER("Continuous"),"✅","❌"))</f>
        <v/>
      </c>
      <c r="E21" s="21" t="s">
        <v>54</v>
      </c>
    </row>
    <row r="22" spans="1:5" ht="32" x14ac:dyDescent="0.2">
      <c r="B22" s="22" t="s">
        <v>55</v>
      </c>
      <c r="C22" s="19"/>
      <c r="D22" s="20" t="str">
        <f>IF(C22="","",IF(LOWER(C22)=LOWER("Discrete"),"✅","❌"))</f>
        <v/>
      </c>
      <c r="E22" s="21" t="s">
        <v>56</v>
      </c>
    </row>
    <row r="23" spans="1:5" ht="32" x14ac:dyDescent="0.2">
      <c r="B23" s="18" t="s">
        <v>57</v>
      </c>
      <c r="C23" s="19"/>
      <c r="D23" s="20" t="str">
        <f>IF(C23="","",IF(LOWER(C23)=LOWER("Continuous"),"✅","❌"))</f>
        <v/>
      </c>
      <c r="E23" s="21" t="s">
        <v>58</v>
      </c>
    </row>
    <row r="25" spans="1:5" ht="21.75" customHeight="1" x14ac:dyDescent="0.2">
      <c r="A25" s="6" t="s">
        <v>59</v>
      </c>
      <c r="B25" s="6"/>
      <c r="C25" s="6"/>
      <c r="D25" s="6"/>
      <c r="E25" s="6"/>
    </row>
    <row r="26" spans="1:5" x14ac:dyDescent="0.2">
      <c r="B26" s="13" t="s">
        <v>26</v>
      </c>
      <c r="C26" s="13" t="s">
        <v>27</v>
      </c>
      <c r="D26" s="13" t="s">
        <v>28</v>
      </c>
      <c r="E26" s="13" t="s">
        <v>29</v>
      </c>
    </row>
    <row r="27" spans="1:5" ht="64" x14ac:dyDescent="0.2">
      <c r="B27" s="18" t="s">
        <v>60</v>
      </c>
      <c r="C27" s="19"/>
      <c r="D27" s="20" t="str">
        <f>IF(C27="","",IF(LOWER(C27)=LOWER("Nominal"),"✅","❌"))</f>
        <v/>
      </c>
      <c r="E27" s="21" t="s">
        <v>61</v>
      </c>
    </row>
    <row r="28" spans="1:5" ht="48" x14ac:dyDescent="0.2">
      <c r="B28" s="22" t="s">
        <v>62</v>
      </c>
      <c r="C28" s="19"/>
      <c r="D28" s="20" t="str">
        <f>IF(C28="","",IF(LOWER(C28)=LOWER("Ordinal"),"✅","❌"))</f>
        <v/>
      </c>
      <c r="E28" s="21" t="s">
        <v>63</v>
      </c>
    </row>
    <row r="29" spans="1:5" ht="32" x14ac:dyDescent="0.2">
      <c r="B29" s="18" t="s">
        <v>64</v>
      </c>
      <c r="C29" s="19"/>
      <c r="D29" s="20" t="str">
        <f>IF(C29="","",IF(LOWER(C29)=LOWER("Nominal"),"✅","❌"))</f>
        <v/>
      </c>
      <c r="E29" s="21" t="s">
        <v>65</v>
      </c>
    </row>
    <row r="30" spans="1:5" ht="32" x14ac:dyDescent="0.2">
      <c r="B30" s="22" t="s">
        <v>66</v>
      </c>
      <c r="C30" s="19"/>
      <c r="D30" s="20" t="str">
        <f>IF(C30="","",IF(LOWER(C30)=LOWER("Ordinal"),"✅","❌"))</f>
        <v/>
      </c>
      <c r="E30" s="21" t="s">
        <v>67</v>
      </c>
    </row>
    <row r="31" spans="1:5" ht="48" x14ac:dyDescent="0.2">
      <c r="B31" s="18" t="s">
        <v>68</v>
      </c>
      <c r="C31" s="19"/>
      <c r="D31" s="20" t="str">
        <f>IF(C31="","",IF(LOWER(C31)=LOWER("Nominal"),"✅","❌"))</f>
        <v/>
      </c>
      <c r="E31" s="21" t="s">
        <v>69</v>
      </c>
    </row>
    <row r="32" spans="1:5" ht="48" x14ac:dyDescent="0.2">
      <c r="B32" s="22" t="s">
        <v>70</v>
      </c>
      <c r="C32" s="19"/>
      <c r="D32" s="20" t="str">
        <f>IF(C32="","",IF(LOWER(C32)=LOWER("Ordinal"),"✅","❌"))</f>
        <v/>
      </c>
      <c r="E32" s="21" t="s">
        <v>71</v>
      </c>
    </row>
    <row r="35" spans="1:5" ht="23.75" customHeight="1" x14ac:dyDescent="0.2">
      <c r="A35" s="5" t="s">
        <v>72</v>
      </c>
      <c r="B35" s="5"/>
      <c r="C35" s="5"/>
      <c r="D35" s="5"/>
      <c r="E35" s="5"/>
    </row>
  </sheetData>
  <mergeCells count="7">
    <mergeCell ref="A25:E25"/>
    <mergeCell ref="A35:E35"/>
    <mergeCell ref="A1:E1"/>
    <mergeCell ref="A2:E2"/>
    <mergeCell ref="A4:E4"/>
    <mergeCell ref="B5:E5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6" width="14" customWidth="1"/>
    <col min="7" max="7" width="12" customWidth="1"/>
    <col min="8" max="8" width="3" customWidth="1"/>
  </cols>
  <sheetData>
    <row r="1" spans="1:7" ht="30" customHeight="1" x14ac:dyDescent="0.2">
      <c r="A1" s="8" t="s">
        <v>73</v>
      </c>
      <c r="B1" s="8"/>
      <c r="C1" s="8"/>
      <c r="D1" s="8"/>
      <c r="E1" s="8"/>
      <c r="F1" s="8"/>
      <c r="G1" s="8"/>
    </row>
    <row r="2" spans="1:7" ht="15" customHeight="1" x14ac:dyDescent="0.2">
      <c r="A2" s="7" t="s">
        <v>74</v>
      </c>
      <c r="B2" s="7"/>
      <c r="C2" s="7"/>
      <c r="D2" s="7"/>
      <c r="E2" s="7"/>
      <c r="F2" s="7"/>
      <c r="G2" s="7"/>
    </row>
    <row r="4" spans="1:7" ht="21.75" customHeight="1" x14ac:dyDescent="0.2">
      <c r="A4" s="6" t="s">
        <v>75</v>
      </c>
      <c r="B4" s="6"/>
      <c r="C4" s="6"/>
      <c r="D4" s="6"/>
      <c r="E4" s="6"/>
      <c r="F4" s="6"/>
      <c r="G4" s="6"/>
    </row>
    <row r="5" spans="1:7" ht="15" customHeight="1" x14ac:dyDescent="0.2">
      <c r="A5" s="4" t="s">
        <v>76</v>
      </c>
      <c r="B5" s="4"/>
      <c r="C5" s="4"/>
      <c r="D5" s="4"/>
      <c r="E5" s="4"/>
      <c r="F5" s="4"/>
      <c r="G5" s="4"/>
    </row>
    <row r="6" spans="1:7" x14ac:dyDescent="0.2">
      <c r="B6" s="13" t="s">
        <v>77</v>
      </c>
      <c r="C6" s="13" t="s">
        <v>78</v>
      </c>
      <c r="D6" s="13" t="s">
        <v>79</v>
      </c>
      <c r="E6" s="13" t="s">
        <v>80</v>
      </c>
      <c r="F6" s="13" t="s">
        <v>81</v>
      </c>
      <c r="G6" s="13"/>
    </row>
    <row r="7" spans="1:7" x14ac:dyDescent="0.2">
      <c r="B7" s="23">
        <v>1</v>
      </c>
      <c r="C7" s="23">
        <v>3</v>
      </c>
      <c r="D7" s="23">
        <v>5</v>
      </c>
      <c r="E7" s="23">
        <v>2</v>
      </c>
      <c r="F7" s="23">
        <v>4</v>
      </c>
    </row>
    <row r="8" spans="1:7" x14ac:dyDescent="0.2">
      <c r="B8" s="23">
        <v>6</v>
      </c>
      <c r="C8" s="23">
        <v>3</v>
      </c>
      <c r="D8" s="23">
        <v>2</v>
      </c>
      <c r="E8" s="23">
        <v>5</v>
      </c>
      <c r="F8" s="23">
        <v>4</v>
      </c>
    </row>
    <row r="9" spans="1:7" x14ac:dyDescent="0.2">
      <c r="B9" s="23">
        <v>1</v>
      </c>
      <c r="C9" s="23">
        <v>7</v>
      </c>
      <c r="D9" s="23">
        <v>3</v>
      </c>
      <c r="E9" s="23">
        <v>4</v>
      </c>
      <c r="F9" s="23">
        <v>2</v>
      </c>
    </row>
    <row r="10" spans="1:7" x14ac:dyDescent="0.2">
      <c r="B10" s="23">
        <v>5</v>
      </c>
      <c r="C10" s="23">
        <v>3</v>
      </c>
      <c r="D10" s="23">
        <v>6</v>
      </c>
      <c r="E10" s="23">
        <v>2</v>
      </c>
      <c r="F10" s="23">
        <v>4</v>
      </c>
    </row>
    <row r="11" spans="1:7" x14ac:dyDescent="0.2">
      <c r="B11" s="23">
        <v>3</v>
      </c>
      <c r="C11" s="23">
        <v>5</v>
      </c>
      <c r="D11" s="23">
        <v>1</v>
      </c>
      <c r="E11" s="23">
        <v>4</v>
      </c>
      <c r="F11" s="23">
        <v>8</v>
      </c>
    </row>
    <row r="13" spans="1:7" ht="21.75" customHeight="1" x14ac:dyDescent="0.2">
      <c r="A13" s="6" t="s">
        <v>82</v>
      </c>
      <c r="B13" s="6"/>
      <c r="C13" s="6"/>
      <c r="D13" s="6"/>
      <c r="E13" s="6"/>
      <c r="F13" s="6"/>
      <c r="G13" s="6"/>
    </row>
    <row r="14" spans="1:7" ht="15" customHeight="1" x14ac:dyDescent="0.2">
      <c r="A14" s="4" t="s">
        <v>83</v>
      </c>
      <c r="B14" s="4"/>
      <c r="C14" s="4"/>
      <c r="D14" s="4"/>
      <c r="E14" s="4"/>
      <c r="F14" s="4"/>
      <c r="G14" s="4"/>
    </row>
    <row r="15" spans="1:7" ht="30" x14ac:dyDescent="0.2">
      <c r="B15" s="13" t="s">
        <v>84</v>
      </c>
      <c r="C15" s="13" t="s">
        <v>85</v>
      </c>
      <c r="D15" s="13" t="s">
        <v>86</v>
      </c>
      <c r="E15" s="13" t="s">
        <v>87</v>
      </c>
      <c r="F15" s="13" t="s">
        <v>88</v>
      </c>
      <c r="G15" s="13"/>
    </row>
    <row r="16" spans="1:7" ht="16" x14ac:dyDescent="0.2">
      <c r="B16" s="24">
        <v>1</v>
      </c>
      <c r="C16" s="25"/>
      <c r="D16" s="20" t="str">
        <f>IF(C16="","",IF(C16=3,"✅","❌"))</f>
        <v/>
      </c>
      <c r="E16" s="26"/>
      <c r="F16" s="25"/>
      <c r="G16" s="20" t="str">
        <f>IF(F16="","",IF(ABS(F16-3)&lt;0.1,"✅","❌"))</f>
        <v/>
      </c>
    </row>
    <row r="17" spans="1:7" ht="16" x14ac:dyDescent="0.2">
      <c r="B17" s="24">
        <v>2</v>
      </c>
      <c r="C17" s="25"/>
      <c r="D17" s="20" t="str">
        <f>IF(C17="","",IF(C17=4,"✅","❌"))</f>
        <v/>
      </c>
      <c r="E17" s="26"/>
      <c r="F17" s="25"/>
      <c r="G17" s="20" t="str">
        <f>IF(F17="","",IF(ABS(F17-7)&lt;0.1,"✅","❌"))</f>
        <v/>
      </c>
    </row>
    <row r="18" spans="1:7" ht="16" x14ac:dyDescent="0.2">
      <c r="B18" s="24">
        <v>3</v>
      </c>
      <c r="C18" s="25"/>
      <c r="D18" s="20" t="str">
        <f>IF(C18="","",IF(C18=5,"✅","❌"))</f>
        <v/>
      </c>
      <c r="E18" s="26"/>
      <c r="F18" s="25"/>
      <c r="G18" s="20" t="str">
        <f>IF(F18="","",IF(ABS(F18-12)&lt;0.1,"✅","❌"))</f>
        <v/>
      </c>
    </row>
    <row r="19" spans="1:7" ht="16" x14ac:dyDescent="0.2">
      <c r="B19" s="24">
        <v>4</v>
      </c>
      <c r="C19" s="25"/>
      <c r="D19" s="20" t="str">
        <f>IF(C19="","",IF(C19=5,"✅","❌"))</f>
        <v/>
      </c>
      <c r="E19" s="26"/>
      <c r="F19" s="25"/>
      <c r="G19" s="20" t="str">
        <f>IF(F19="","",IF(ABS(F19-17)&lt;0.1,"✅","❌"))</f>
        <v/>
      </c>
    </row>
    <row r="20" spans="1:7" ht="16" x14ac:dyDescent="0.2">
      <c r="B20" s="24">
        <v>5</v>
      </c>
      <c r="C20" s="25"/>
      <c r="D20" s="20" t="str">
        <f>IF(C20="","",IF(C20=4,"✅","❌"))</f>
        <v/>
      </c>
      <c r="E20" s="26"/>
      <c r="F20" s="25"/>
      <c r="G20" s="20" t="str">
        <f>IF(F20="","",IF(ABS(F20-21)&lt;0.1,"✅","❌"))</f>
        <v/>
      </c>
    </row>
    <row r="21" spans="1:7" ht="16" x14ac:dyDescent="0.2">
      <c r="B21" s="24">
        <v>6</v>
      </c>
      <c r="C21" s="25"/>
      <c r="D21" s="20" t="str">
        <f>IF(C21="","",IF(C21=2,"✅","❌"))</f>
        <v/>
      </c>
      <c r="E21" s="26"/>
      <c r="F21" s="25"/>
      <c r="G21" s="20" t="str">
        <f>IF(F21="","",IF(ABS(F21-23)&lt;0.1,"✅","❌"))</f>
        <v/>
      </c>
    </row>
    <row r="22" spans="1:7" ht="16" x14ac:dyDescent="0.2">
      <c r="B22" s="24">
        <v>7</v>
      </c>
      <c r="C22" s="25"/>
      <c r="D22" s="20" t="str">
        <f>IF(C22="","",IF(C22=1,"✅","❌"))</f>
        <v/>
      </c>
      <c r="E22" s="26"/>
      <c r="F22" s="25"/>
      <c r="G22" s="20" t="str">
        <f>IF(F22="","",IF(ABS(F22-24)&lt;0.1,"✅","❌"))</f>
        <v/>
      </c>
    </row>
    <row r="23" spans="1:7" ht="16" x14ac:dyDescent="0.2">
      <c r="B23" s="24">
        <v>8</v>
      </c>
      <c r="C23" s="25"/>
      <c r="D23" s="20" t="str">
        <f>IF(C23="","",IF(C23=1,"✅","❌"))</f>
        <v/>
      </c>
      <c r="E23" s="26"/>
      <c r="F23" s="25"/>
      <c r="G23" s="20" t="str">
        <f>IF(F23="","",IF(ABS(F23-25)&lt;0.1,"✅","❌"))</f>
        <v/>
      </c>
    </row>
    <row r="24" spans="1:7" x14ac:dyDescent="0.2">
      <c r="B24" s="27" t="s">
        <v>89</v>
      </c>
      <c r="C24" s="28">
        <f>SUM(C16:C23)</f>
        <v>0</v>
      </c>
      <c r="E24" s="29">
        <f>SUM(E16:E23)</f>
        <v>0</v>
      </c>
    </row>
    <row r="26" spans="1:7" ht="21.75" customHeight="1" x14ac:dyDescent="0.2">
      <c r="A26" s="6" t="s">
        <v>90</v>
      </c>
      <c r="B26" s="6"/>
      <c r="C26" s="6"/>
      <c r="D26" s="6"/>
      <c r="E26" s="6"/>
      <c r="F26" s="6"/>
      <c r="G26" s="6"/>
    </row>
    <row r="27" spans="1:7" ht="15" customHeight="1" x14ac:dyDescent="0.2">
      <c r="A27" s="4" t="s">
        <v>91</v>
      </c>
      <c r="B27" s="4"/>
      <c r="C27" s="4"/>
      <c r="D27" s="4"/>
      <c r="E27" s="4"/>
      <c r="F27" s="4"/>
      <c r="G27" s="4"/>
    </row>
    <row r="28" spans="1:7" ht="30" x14ac:dyDescent="0.2">
      <c r="B28" s="13" t="s">
        <v>92</v>
      </c>
      <c r="C28" s="13" t="s">
        <v>93</v>
      </c>
      <c r="D28" s="13" t="s">
        <v>85</v>
      </c>
      <c r="E28" s="13" t="s">
        <v>86</v>
      </c>
      <c r="F28" s="13" t="s">
        <v>88</v>
      </c>
      <c r="G28" s="13"/>
    </row>
    <row r="29" spans="1:7" ht="16" x14ac:dyDescent="0.2">
      <c r="B29" s="22" t="s">
        <v>94</v>
      </c>
      <c r="C29" s="26"/>
      <c r="D29" s="25"/>
      <c r="E29" s="20" t="str">
        <f>IF(D29="","",IF(D29=7,"✅","❌"))</f>
        <v/>
      </c>
      <c r="F29" s="25"/>
      <c r="G29" s="20" t="str">
        <f>IF(F29="","",IF(ABS(F29-7)&lt;0.1,"✅","❌"))</f>
        <v/>
      </c>
    </row>
    <row r="30" spans="1:7" ht="16" x14ac:dyDescent="0.2">
      <c r="B30" s="18" t="s">
        <v>95</v>
      </c>
      <c r="C30" s="26"/>
      <c r="D30" s="25"/>
      <c r="E30" s="20" t="str">
        <f>IF(D30="","",IF(D30=10,"✅","❌"))</f>
        <v/>
      </c>
      <c r="F30" s="25"/>
      <c r="G30" s="20" t="str">
        <f>IF(F30="","",IF(ABS(F30-17)&lt;0.1,"✅","❌"))</f>
        <v/>
      </c>
    </row>
    <row r="31" spans="1:7" ht="16" x14ac:dyDescent="0.2">
      <c r="B31" s="22" t="s">
        <v>96</v>
      </c>
      <c r="C31" s="26"/>
      <c r="D31" s="25"/>
      <c r="E31" s="20" t="str">
        <f>IF(D31="","",IF(D31=6,"✅","❌"))</f>
        <v/>
      </c>
      <c r="F31" s="25"/>
      <c r="G31" s="20" t="str">
        <f>IF(F31="","",IF(ABS(F31-23)&lt;0.1,"✅","❌"))</f>
        <v/>
      </c>
    </row>
    <row r="32" spans="1:7" ht="16" x14ac:dyDescent="0.2">
      <c r="B32" s="18" t="s">
        <v>97</v>
      </c>
      <c r="C32" s="26"/>
      <c r="D32" s="25"/>
      <c r="E32" s="20" t="str">
        <f>IF(D32="","",IF(D32=2,"✅","❌"))</f>
        <v/>
      </c>
      <c r="F32" s="25"/>
      <c r="G32" s="20" t="str">
        <f>IF(F32="","",IF(ABS(F32-25)&lt;0.1,"✅","❌"))</f>
        <v/>
      </c>
    </row>
    <row r="33" spans="1:7" x14ac:dyDescent="0.2">
      <c r="B33" s="27" t="s">
        <v>89</v>
      </c>
      <c r="D33" s="28">
        <f>SUM(D29:D32)</f>
        <v>0</v>
      </c>
    </row>
    <row r="35" spans="1:7" ht="21.75" customHeight="1" x14ac:dyDescent="0.2">
      <c r="A35" s="6" t="s">
        <v>98</v>
      </c>
      <c r="B35" s="6"/>
      <c r="C35" s="6"/>
      <c r="D35" s="6"/>
      <c r="E35" s="6"/>
      <c r="F35" s="6"/>
      <c r="G35" s="6"/>
    </row>
    <row r="36" spans="1:7" ht="26.75" customHeight="1" x14ac:dyDescent="0.2">
      <c r="B36" s="9" t="s">
        <v>99</v>
      </c>
      <c r="C36" s="9"/>
      <c r="D36" s="9"/>
      <c r="E36" s="9"/>
      <c r="F36" s="9"/>
    </row>
    <row r="37" spans="1:7" x14ac:dyDescent="0.2">
      <c r="B37" s="3"/>
      <c r="C37" s="3"/>
      <c r="D37" s="3"/>
      <c r="E37" s="3"/>
      <c r="F37" s="3"/>
    </row>
    <row r="38" spans="1:7" ht="26.75" customHeight="1" x14ac:dyDescent="0.2">
      <c r="B38" s="9" t="s">
        <v>100</v>
      </c>
      <c r="C38" s="9"/>
      <c r="D38" s="9"/>
      <c r="E38" s="9"/>
      <c r="F38" s="9"/>
    </row>
    <row r="39" spans="1:7" x14ac:dyDescent="0.2">
      <c r="B39" s="3"/>
      <c r="C39" s="3"/>
      <c r="D39" s="3"/>
      <c r="E39" s="3"/>
      <c r="F39" s="3"/>
    </row>
    <row r="40" spans="1:7" ht="15" customHeight="1" x14ac:dyDescent="0.2">
      <c r="B40" s="9" t="s">
        <v>101</v>
      </c>
      <c r="C40" s="9"/>
      <c r="D40" s="9"/>
      <c r="E40" s="9"/>
      <c r="F40" s="9"/>
    </row>
    <row r="41" spans="1:7" x14ac:dyDescent="0.2">
      <c r="B41" s="3"/>
      <c r="C41" s="3"/>
      <c r="D41" s="3"/>
      <c r="E41" s="3"/>
      <c r="F41" s="3"/>
    </row>
  </sheetData>
  <mergeCells count="15">
    <mergeCell ref="B37:F37"/>
    <mergeCell ref="B38:F38"/>
    <mergeCell ref="B39:F39"/>
    <mergeCell ref="B40:F40"/>
    <mergeCell ref="B41:F41"/>
    <mergeCell ref="A14:G14"/>
    <mergeCell ref="A26:G26"/>
    <mergeCell ref="A27:G27"/>
    <mergeCell ref="A35:G35"/>
    <mergeCell ref="B36:F36"/>
    <mergeCell ref="A1:G1"/>
    <mergeCell ref="A2:G2"/>
    <mergeCell ref="A4:G4"/>
    <mergeCell ref="A5:G5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16" customWidth="1"/>
    <col min="4" max="4" width="12" customWidth="1"/>
    <col min="5" max="6" width="18" customWidth="1"/>
    <col min="7" max="7" width="3" customWidth="1"/>
  </cols>
  <sheetData>
    <row r="1" spans="1:6" ht="30" customHeight="1" x14ac:dyDescent="0.2">
      <c r="A1" s="8" t="s">
        <v>102</v>
      </c>
      <c r="B1" s="8"/>
      <c r="C1" s="8"/>
      <c r="D1" s="8"/>
      <c r="E1" s="8"/>
      <c r="F1" s="8"/>
    </row>
    <row r="2" spans="1:6" ht="15" customHeight="1" x14ac:dyDescent="0.2">
      <c r="A2" s="7" t="s">
        <v>103</v>
      </c>
      <c r="B2" s="7"/>
      <c r="C2" s="7"/>
      <c r="D2" s="7"/>
      <c r="E2" s="7"/>
      <c r="F2" s="7"/>
    </row>
    <row r="4" spans="1:6" ht="21.75" customHeight="1" x14ac:dyDescent="0.2">
      <c r="A4" s="6" t="s">
        <v>104</v>
      </c>
      <c r="B4" s="6"/>
      <c r="C4" s="6"/>
      <c r="D4" s="6"/>
      <c r="E4" s="6"/>
      <c r="F4" s="6"/>
    </row>
    <row r="5" spans="1:6" ht="15" customHeight="1" x14ac:dyDescent="0.2">
      <c r="A5" s="4" t="s">
        <v>105</v>
      </c>
      <c r="B5" s="4"/>
      <c r="C5" s="4"/>
      <c r="D5" s="4"/>
      <c r="E5" s="4"/>
      <c r="F5" s="4"/>
    </row>
    <row r="6" spans="1:6" x14ac:dyDescent="0.2">
      <c r="B6" s="13" t="s">
        <v>106</v>
      </c>
      <c r="C6" s="13" t="s">
        <v>107</v>
      </c>
      <c r="D6" s="13"/>
      <c r="E6" s="13" t="s">
        <v>106</v>
      </c>
      <c r="F6" s="13" t="s">
        <v>107</v>
      </c>
    </row>
    <row r="7" spans="1:6" x14ac:dyDescent="0.2">
      <c r="B7" s="24">
        <v>1</v>
      </c>
      <c r="C7" s="30">
        <v>12</v>
      </c>
      <c r="E7" s="24">
        <v>10</v>
      </c>
      <c r="F7" s="30">
        <v>24</v>
      </c>
    </row>
    <row r="8" spans="1:6" x14ac:dyDescent="0.2">
      <c r="B8" s="24">
        <v>2</v>
      </c>
      <c r="C8" s="30">
        <v>18</v>
      </c>
      <c r="E8" s="24">
        <v>11</v>
      </c>
      <c r="F8" s="30">
        <v>17</v>
      </c>
    </row>
    <row r="9" spans="1:6" x14ac:dyDescent="0.2">
      <c r="B9" s="24">
        <v>3</v>
      </c>
      <c r="C9" s="30">
        <v>25</v>
      </c>
      <c r="E9" s="24">
        <v>12</v>
      </c>
      <c r="F9" s="30">
        <v>28</v>
      </c>
    </row>
    <row r="10" spans="1:6" x14ac:dyDescent="0.2">
      <c r="B10" s="24">
        <v>4</v>
      </c>
      <c r="C10" s="30">
        <v>15</v>
      </c>
      <c r="E10" s="24">
        <v>13</v>
      </c>
      <c r="F10" s="30">
        <v>13</v>
      </c>
    </row>
    <row r="11" spans="1:6" x14ac:dyDescent="0.2">
      <c r="B11" s="24">
        <v>5</v>
      </c>
      <c r="C11" s="30">
        <v>30</v>
      </c>
      <c r="E11" s="24">
        <v>14</v>
      </c>
      <c r="F11" s="30">
        <v>40</v>
      </c>
    </row>
    <row r="12" spans="1:6" x14ac:dyDescent="0.2">
      <c r="B12" s="24">
        <v>6</v>
      </c>
      <c r="C12" s="30">
        <v>22</v>
      </c>
      <c r="E12" s="24">
        <v>15</v>
      </c>
      <c r="F12" s="30">
        <v>19</v>
      </c>
    </row>
    <row r="13" spans="1:6" x14ac:dyDescent="0.2">
      <c r="B13" s="24">
        <v>7</v>
      </c>
      <c r="C13" s="30">
        <v>8</v>
      </c>
      <c r="E13" s="24">
        <v>16</v>
      </c>
      <c r="F13" s="30">
        <v>23</v>
      </c>
    </row>
    <row r="14" spans="1:6" x14ac:dyDescent="0.2">
      <c r="B14" s="24">
        <v>8</v>
      </c>
      <c r="C14" s="30">
        <v>35</v>
      </c>
      <c r="E14" s="24">
        <v>17</v>
      </c>
      <c r="F14" s="30">
        <v>16</v>
      </c>
    </row>
    <row r="15" spans="1:6" x14ac:dyDescent="0.2">
      <c r="B15" s="24">
        <v>9</v>
      </c>
      <c r="C15" s="30">
        <v>20</v>
      </c>
      <c r="E15" s="24">
        <v>18</v>
      </c>
      <c r="F15" s="30">
        <v>45</v>
      </c>
    </row>
    <row r="17" spans="1:6" ht="21.75" customHeight="1" x14ac:dyDescent="0.2">
      <c r="A17" s="6" t="s">
        <v>108</v>
      </c>
      <c r="B17" s="6"/>
      <c r="C17" s="6"/>
      <c r="D17" s="6"/>
      <c r="E17" s="6"/>
      <c r="F17" s="6"/>
    </row>
    <row r="18" spans="1:6" x14ac:dyDescent="0.2">
      <c r="B18" s="13" t="s">
        <v>109</v>
      </c>
      <c r="C18" s="13" t="s">
        <v>110</v>
      </c>
      <c r="D18" s="13" t="s">
        <v>28</v>
      </c>
      <c r="E18" s="13" t="s">
        <v>111</v>
      </c>
      <c r="F18" s="13"/>
    </row>
    <row r="19" spans="1:6" ht="16" x14ac:dyDescent="0.2">
      <c r="B19" s="31" t="s">
        <v>112</v>
      </c>
      <c r="C19" s="32"/>
      <c r="D19" s="20" t="str">
        <f>IF(C19="","",IF(ABS(C19-22.777778)&lt;0.01,"✅","❌"))</f>
        <v/>
      </c>
      <c r="E19" s="21" t="s">
        <v>113</v>
      </c>
    </row>
    <row r="20" spans="1:6" ht="32" x14ac:dyDescent="0.2">
      <c r="B20" s="33" t="s">
        <v>114</v>
      </c>
      <c r="C20" s="32"/>
      <c r="D20" s="20" t="str">
        <f>IF(C20="","",IF(ABS(C20-21)&lt;0.1,"✅","❌"))</f>
        <v/>
      </c>
      <c r="E20" s="21" t="s">
        <v>115</v>
      </c>
    </row>
    <row r="21" spans="1:6" ht="16" x14ac:dyDescent="0.2">
      <c r="B21" s="31" t="s">
        <v>116</v>
      </c>
      <c r="C21" s="32"/>
      <c r="D21" s="20" t="str">
        <f>IF(C21="","",IF(ABS(C21-37)&lt;0.1,"✅","❌"))</f>
        <v/>
      </c>
      <c r="E21" s="21" t="s">
        <v>117</v>
      </c>
    </row>
    <row r="23" spans="1:6" ht="21.75" customHeight="1" x14ac:dyDescent="0.2">
      <c r="A23" s="6" t="s">
        <v>118</v>
      </c>
      <c r="B23" s="6"/>
      <c r="C23" s="6"/>
      <c r="D23" s="6"/>
      <c r="E23" s="6"/>
      <c r="F23" s="6"/>
    </row>
    <row r="24" spans="1:6" ht="41.75" customHeight="1" x14ac:dyDescent="0.2">
      <c r="B24" s="9" t="s">
        <v>119</v>
      </c>
      <c r="C24" s="9"/>
      <c r="D24" s="9"/>
      <c r="E24" s="9"/>
      <c r="F24" s="21" t="s">
        <v>120</v>
      </c>
    </row>
    <row r="25" spans="1:6" x14ac:dyDescent="0.2">
      <c r="B25" s="3"/>
      <c r="C25" s="3"/>
      <c r="D25" s="3"/>
      <c r="E25" s="3"/>
    </row>
    <row r="26" spans="1:6" ht="68.75" customHeight="1" x14ac:dyDescent="0.2">
      <c r="B26" s="9" t="s">
        <v>121</v>
      </c>
      <c r="C26" s="9"/>
      <c r="D26" s="9"/>
      <c r="E26" s="9"/>
      <c r="F26" s="21" t="s">
        <v>122</v>
      </c>
    </row>
    <row r="27" spans="1:6" x14ac:dyDescent="0.2">
      <c r="B27" s="3"/>
      <c r="C27" s="3"/>
      <c r="D27" s="3"/>
      <c r="E27" s="3"/>
    </row>
    <row r="28" spans="1:6" ht="41.75" customHeight="1" x14ac:dyDescent="0.2">
      <c r="B28" s="9" t="s">
        <v>123</v>
      </c>
      <c r="C28" s="9"/>
      <c r="D28" s="9"/>
      <c r="E28" s="9"/>
      <c r="F28" s="21" t="s">
        <v>124</v>
      </c>
    </row>
    <row r="29" spans="1:6" x14ac:dyDescent="0.2">
      <c r="B29" s="3"/>
      <c r="C29" s="3"/>
      <c r="D29" s="3"/>
      <c r="E29" s="3"/>
    </row>
    <row r="31" spans="1:6" ht="21.75" customHeight="1" x14ac:dyDescent="0.2">
      <c r="A31" s="6" t="s">
        <v>125</v>
      </c>
      <c r="B31" s="6"/>
      <c r="C31" s="6"/>
      <c r="D31" s="6"/>
      <c r="E31" s="6"/>
      <c r="F31" s="6"/>
    </row>
    <row r="32" spans="1:6" ht="15" customHeight="1" x14ac:dyDescent="0.2">
      <c r="A32" s="4" t="s">
        <v>126</v>
      </c>
      <c r="B32" s="4"/>
      <c r="C32" s="4"/>
      <c r="D32" s="4"/>
      <c r="E32" s="4"/>
      <c r="F32" s="4"/>
    </row>
    <row r="33" spans="1:6" x14ac:dyDescent="0.2">
      <c r="B33" s="34">
        <v>4200</v>
      </c>
      <c r="C33" s="34">
        <v>3800</v>
      </c>
      <c r="D33" s="34">
        <v>4100</v>
      </c>
      <c r="E33" s="34">
        <v>3900</v>
      </c>
    </row>
    <row r="34" spans="1:6" x14ac:dyDescent="0.2">
      <c r="B34" s="35">
        <v>4300</v>
      </c>
      <c r="C34" s="35">
        <v>4000</v>
      </c>
      <c r="D34" s="35">
        <v>4150</v>
      </c>
      <c r="E34" s="35">
        <v>12000</v>
      </c>
    </row>
    <row r="36" spans="1:6" x14ac:dyDescent="0.2">
      <c r="B36" s="13" t="s">
        <v>127</v>
      </c>
      <c r="C36" s="13" t="s">
        <v>110</v>
      </c>
      <c r="D36" s="13" t="s">
        <v>28</v>
      </c>
      <c r="E36" s="13" t="s">
        <v>111</v>
      </c>
      <c r="F36" s="13"/>
    </row>
    <row r="37" spans="1:6" ht="16" x14ac:dyDescent="0.2">
      <c r="B37" s="36" t="s">
        <v>128</v>
      </c>
      <c r="C37" s="37"/>
      <c r="D37" s="20" t="str">
        <f>IF(C37="","",IF(ABS(C37-5056.25)&lt;1,"✅","❌"))</f>
        <v/>
      </c>
      <c r="E37" s="21" t="s">
        <v>129</v>
      </c>
    </row>
    <row r="38" spans="1:6" ht="32" x14ac:dyDescent="0.2">
      <c r="B38" s="36" t="s">
        <v>130</v>
      </c>
      <c r="C38" s="37"/>
      <c r="D38" s="20" t="str">
        <f>IF(C38="","",IF(ABS(C38-4125)&lt;1,"✅","❌"))</f>
        <v/>
      </c>
      <c r="E38" s="21" t="s">
        <v>131</v>
      </c>
    </row>
    <row r="40" spans="1:6" ht="26.75" customHeight="1" x14ac:dyDescent="0.2">
      <c r="B40" s="9" t="s">
        <v>132</v>
      </c>
      <c r="C40" s="9"/>
      <c r="D40" s="9"/>
      <c r="E40" s="9"/>
    </row>
    <row r="41" spans="1:6" x14ac:dyDescent="0.2">
      <c r="B41" s="3"/>
      <c r="C41" s="3"/>
      <c r="D41" s="3"/>
      <c r="E41" s="3"/>
    </row>
    <row r="43" spans="1:6" ht="23.75" customHeight="1" x14ac:dyDescent="0.2">
      <c r="A43" s="5" t="s">
        <v>133</v>
      </c>
      <c r="B43" s="5"/>
      <c r="C43" s="5"/>
      <c r="D43" s="5"/>
      <c r="E43" s="5"/>
      <c r="F43" s="5"/>
    </row>
  </sheetData>
  <mergeCells count="17">
    <mergeCell ref="B41:E41"/>
    <mergeCell ref="A43:F43"/>
    <mergeCell ref="B28:E28"/>
    <mergeCell ref="B29:E29"/>
    <mergeCell ref="A31:F31"/>
    <mergeCell ref="A32:F32"/>
    <mergeCell ref="B40:E40"/>
    <mergeCell ref="A23:F23"/>
    <mergeCell ref="B24:E24"/>
    <mergeCell ref="B25:E25"/>
    <mergeCell ref="B26:E26"/>
    <mergeCell ref="B27:E27"/>
    <mergeCell ref="A1:F1"/>
    <mergeCell ref="A2:F2"/>
    <mergeCell ref="A4:F4"/>
    <mergeCell ref="A5:F5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16" customWidth="1"/>
    <col min="4" max="4" width="12" customWidth="1"/>
    <col min="5" max="5" width="16" customWidth="1"/>
    <col min="6" max="6" width="18" customWidth="1"/>
    <col min="7" max="7" width="3" customWidth="1"/>
  </cols>
  <sheetData>
    <row r="1" spans="1:6" ht="30" customHeight="1" x14ac:dyDescent="0.2">
      <c r="A1" s="8" t="s">
        <v>134</v>
      </c>
      <c r="B1" s="8"/>
      <c r="C1" s="8"/>
      <c r="D1" s="8"/>
      <c r="E1" s="8"/>
      <c r="F1" s="8"/>
    </row>
    <row r="2" spans="1:6" ht="15" customHeight="1" x14ac:dyDescent="0.2">
      <c r="A2" s="7" t="s">
        <v>135</v>
      </c>
      <c r="B2" s="7"/>
      <c r="C2" s="7"/>
      <c r="D2" s="7"/>
      <c r="E2" s="7"/>
      <c r="F2" s="7"/>
    </row>
    <row r="4" spans="1:6" ht="21.75" customHeight="1" x14ac:dyDescent="0.2">
      <c r="A4" s="6" t="s">
        <v>136</v>
      </c>
      <c r="B4" s="6"/>
      <c r="C4" s="6"/>
      <c r="D4" s="6"/>
      <c r="E4" s="6"/>
      <c r="F4" s="6"/>
    </row>
    <row r="5" spans="1:6" ht="15" customHeight="1" x14ac:dyDescent="0.2">
      <c r="A5" s="4" t="s">
        <v>76</v>
      </c>
      <c r="B5" s="4"/>
      <c r="C5" s="4"/>
      <c r="D5" s="4"/>
      <c r="E5" s="4"/>
      <c r="F5" s="4"/>
    </row>
    <row r="6" spans="1:6" ht="30" x14ac:dyDescent="0.2">
      <c r="B6" s="13" t="s">
        <v>137</v>
      </c>
      <c r="C6" s="13" t="s">
        <v>138</v>
      </c>
      <c r="D6" s="13" t="s">
        <v>139</v>
      </c>
      <c r="E6" s="13" t="s">
        <v>140</v>
      </c>
      <c r="F6" s="13"/>
    </row>
    <row r="7" spans="1:6" ht="16" x14ac:dyDescent="0.2">
      <c r="B7" s="24">
        <v>1</v>
      </c>
      <c r="C7" s="30">
        <v>3</v>
      </c>
      <c r="D7" s="32"/>
      <c r="E7" s="32"/>
      <c r="F7" s="20" t="str">
        <f>IF(E7="","",IF(ABS(E7-10.5625)&lt;0.05,"✅","❌"))</f>
        <v/>
      </c>
    </row>
    <row r="8" spans="1:6" ht="16" x14ac:dyDescent="0.2">
      <c r="B8" s="24">
        <v>2</v>
      </c>
      <c r="C8" s="30">
        <v>5</v>
      </c>
      <c r="D8" s="32"/>
      <c r="E8" s="32"/>
      <c r="F8" s="20" t="str">
        <f>IF(E8="","",IF(ABS(E8-1.5625)&lt;0.05,"✅","❌"))</f>
        <v/>
      </c>
    </row>
    <row r="9" spans="1:6" ht="16" x14ac:dyDescent="0.2">
      <c r="B9" s="24">
        <v>3</v>
      </c>
      <c r="C9" s="30">
        <v>8</v>
      </c>
      <c r="D9" s="32"/>
      <c r="E9" s="32"/>
      <c r="F9" s="20" t="str">
        <f>IF(E9="","",IF(ABS(E9-3.0625)&lt;0.05,"✅","❌"))</f>
        <v/>
      </c>
    </row>
    <row r="10" spans="1:6" ht="16" x14ac:dyDescent="0.2">
      <c r="B10" s="24">
        <v>4</v>
      </c>
      <c r="C10" s="30">
        <v>4</v>
      </c>
      <c r="D10" s="32"/>
      <c r="E10" s="32"/>
      <c r="F10" s="20" t="str">
        <f>IF(E10="","",IF(ABS(E10-5.0625)&lt;0.05,"✅","❌"))</f>
        <v/>
      </c>
    </row>
    <row r="11" spans="1:6" ht="16" x14ac:dyDescent="0.2">
      <c r="B11" s="24">
        <v>5</v>
      </c>
      <c r="C11" s="30">
        <v>6</v>
      </c>
      <c r="D11" s="32"/>
      <c r="E11" s="32"/>
      <c r="F11" s="20" t="str">
        <f>IF(E11="","",IF(ABS(E11-0.0625)&lt;0.05,"✅","❌"))</f>
        <v/>
      </c>
    </row>
    <row r="12" spans="1:6" ht="16" x14ac:dyDescent="0.2">
      <c r="B12" s="24">
        <v>6</v>
      </c>
      <c r="C12" s="30">
        <v>9</v>
      </c>
      <c r="D12" s="32"/>
      <c r="E12" s="32"/>
      <c r="F12" s="20" t="str">
        <f>IF(E12="","",IF(ABS(E12-7.5625)&lt;0.05,"✅","❌"))</f>
        <v/>
      </c>
    </row>
    <row r="13" spans="1:6" ht="16" x14ac:dyDescent="0.2">
      <c r="B13" s="24">
        <v>7</v>
      </c>
      <c r="C13" s="30">
        <v>7</v>
      </c>
      <c r="D13" s="32"/>
      <c r="E13" s="32"/>
      <c r="F13" s="20" t="str">
        <f>IF(E13="","",IF(ABS(E13-0.5625)&lt;0.05,"✅","❌"))</f>
        <v/>
      </c>
    </row>
    <row r="14" spans="1:6" ht="16" x14ac:dyDescent="0.2">
      <c r="B14" s="24">
        <v>8</v>
      </c>
      <c r="C14" s="30">
        <v>5</v>
      </c>
      <c r="D14" s="32"/>
      <c r="E14" s="32"/>
      <c r="F14" s="20" t="str">
        <f>IF(E14="","",IF(ABS(E14-1.5625)&lt;0.05,"✅","❌"))</f>
        <v/>
      </c>
    </row>
    <row r="15" spans="1:6" ht="16" x14ac:dyDescent="0.2">
      <c r="B15" s="24">
        <v>9</v>
      </c>
      <c r="C15" s="30">
        <v>11</v>
      </c>
      <c r="D15" s="32"/>
      <c r="E15" s="32"/>
      <c r="F15" s="20" t="str">
        <f>IF(E15="","",IF(ABS(E15-22.5625)&lt;0.05,"✅","❌"))</f>
        <v/>
      </c>
    </row>
    <row r="16" spans="1:6" ht="16" x14ac:dyDescent="0.2">
      <c r="B16" s="24">
        <v>10</v>
      </c>
      <c r="C16" s="30">
        <v>4</v>
      </c>
      <c r="D16" s="32"/>
      <c r="E16" s="32"/>
      <c r="F16" s="20" t="str">
        <f>IF(E16="","",IF(ABS(E16-5.0625)&lt;0.05,"✅","❌"))</f>
        <v/>
      </c>
    </row>
    <row r="17" spans="1:6" ht="16" x14ac:dyDescent="0.2">
      <c r="B17" s="24">
        <v>11</v>
      </c>
      <c r="C17" s="30">
        <v>6</v>
      </c>
      <c r="D17" s="32"/>
      <c r="E17" s="32"/>
      <c r="F17" s="20" t="str">
        <f>IF(E17="","",IF(ABS(E17-0.0625)&lt;0.05,"✅","❌"))</f>
        <v/>
      </c>
    </row>
    <row r="18" spans="1:6" ht="16" x14ac:dyDescent="0.2">
      <c r="B18" s="24">
        <v>12</v>
      </c>
      <c r="C18" s="30">
        <v>7</v>
      </c>
      <c r="D18" s="32"/>
      <c r="E18" s="32"/>
      <c r="F18" s="20" t="str">
        <f>IF(E18="","",IF(ABS(E18-0.5625)&lt;0.05,"✅","❌"))</f>
        <v/>
      </c>
    </row>
    <row r="19" spans="1:6" x14ac:dyDescent="0.2">
      <c r="B19" s="27" t="s">
        <v>141</v>
      </c>
      <c r="E19" s="38">
        <f>SUM(E7:E18)</f>
        <v>0</v>
      </c>
    </row>
    <row r="21" spans="1:6" ht="21.75" customHeight="1" x14ac:dyDescent="0.2">
      <c r="A21" s="6" t="s">
        <v>142</v>
      </c>
      <c r="B21" s="6"/>
      <c r="C21" s="6"/>
      <c r="D21" s="6"/>
      <c r="E21" s="6"/>
      <c r="F21" s="6"/>
    </row>
    <row r="22" spans="1:6" x14ac:dyDescent="0.2">
      <c r="B22" s="13" t="s">
        <v>143</v>
      </c>
      <c r="C22" s="13" t="s">
        <v>110</v>
      </c>
      <c r="D22" s="13" t="s">
        <v>28</v>
      </c>
      <c r="E22" s="13" t="s">
        <v>111</v>
      </c>
      <c r="F22" s="13"/>
    </row>
    <row r="23" spans="1:6" ht="16" x14ac:dyDescent="0.2">
      <c r="B23" s="31" t="s">
        <v>144</v>
      </c>
      <c r="C23" s="32"/>
      <c r="D23" s="20" t="str">
        <f>IF(C23="","",IF(ABS(C23-6.25)&lt;0.05,"✅","❌"))</f>
        <v/>
      </c>
      <c r="E23" s="21" t="s">
        <v>145</v>
      </c>
    </row>
    <row r="24" spans="1:6" ht="16" x14ac:dyDescent="0.2">
      <c r="B24" s="33" t="s">
        <v>116</v>
      </c>
      <c r="C24" s="32"/>
      <c r="D24" s="20" t="str">
        <f>IF(C24="","",IF(ABS(C24-8)&lt;0.1,"✅","❌"))</f>
        <v/>
      </c>
      <c r="E24" s="21" t="s">
        <v>117</v>
      </c>
    </row>
    <row r="25" spans="1:6" ht="32" x14ac:dyDescent="0.2">
      <c r="B25" s="31" t="s">
        <v>146</v>
      </c>
      <c r="C25" s="32"/>
      <c r="D25" s="20" t="str">
        <f>IF(C25="","",IF(ABS(C25-58.25)&lt;0.1,"✅","❌"))</f>
        <v/>
      </c>
      <c r="E25" s="21" t="s">
        <v>147</v>
      </c>
    </row>
    <row r="26" spans="1:6" ht="32" x14ac:dyDescent="0.2">
      <c r="B26" s="33" t="s">
        <v>148</v>
      </c>
      <c r="C26" s="32"/>
      <c r="D26" s="20" t="str">
        <f>IF(C26="","",IF(ABS(C26-4.854167)&lt;0.05,"✅","❌"))</f>
        <v/>
      </c>
      <c r="E26" s="21" t="s">
        <v>149</v>
      </c>
    </row>
    <row r="27" spans="1:6" ht="30" x14ac:dyDescent="0.2">
      <c r="B27" s="31" t="s">
        <v>150</v>
      </c>
      <c r="C27" s="32"/>
      <c r="D27" s="20" t="str">
        <f>IF(C27="","",IF(ABS(C27-2.203217)&lt;0.05,"✅","❌"))</f>
        <v/>
      </c>
      <c r="E27" s="21" t="s">
        <v>151</v>
      </c>
    </row>
    <row r="29" spans="1:6" ht="21.75" customHeight="1" x14ac:dyDescent="0.2">
      <c r="A29" s="6" t="s">
        <v>152</v>
      </c>
      <c r="B29" s="6"/>
      <c r="C29" s="6"/>
      <c r="D29" s="6"/>
      <c r="E29" s="6"/>
      <c r="F29" s="6"/>
    </row>
    <row r="30" spans="1:6" ht="15" customHeight="1" x14ac:dyDescent="0.2">
      <c r="A30" s="4" t="s">
        <v>153</v>
      </c>
      <c r="B30" s="4"/>
      <c r="C30" s="4"/>
      <c r="D30" s="4"/>
      <c r="E30" s="4"/>
      <c r="F30" s="4"/>
    </row>
    <row r="31" spans="1:6" x14ac:dyDescent="0.2">
      <c r="B31" s="13" t="s">
        <v>154</v>
      </c>
      <c r="C31" s="13" t="s">
        <v>155</v>
      </c>
      <c r="D31" s="13" t="s">
        <v>156</v>
      </c>
      <c r="E31" s="13"/>
      <c r="F31" s="13"/>
    </row>
    <row r="32" spans="1:6" x14ac:dyDescent="0.2">
      <c r="B32" s="22" t="s">
        <v>157</v>
      </c>
      <c r="C32" s="23">
        <v>85</v>
      </c>
      <c r="D32" s="39">
        <v>70</v>
      </c>
    </row>
    <row r="33" spans="2:6" x14ac:dyDescent="0.2">
      <c r="B33" s="18" t="s">
        <v>158</v>
      </c>
      <c r="C33" s="23">
        <v>87</v>
      </c>
      <c r="D33" s="39">
        <v>95</v>
      </c>
    </row>
    <row r="34" spans="2:6" x14ac:dyDescent="0.2">
      <c r="B34" s="22" t="s">
        <v>159</v>
      </c>
      <c r="C34" s="23">
        <v>83</v>
      </c>
      <c r="D34" s="39">
        <v>78</v>
      </c>
    </row>
    <row r="35" spans="2:6" x14ac:dyDescent="0.2">
      <c r="B35" s="18" t="s">
        <v>160</v>
      </c>
      <c r="C35" s="23">
        <v>86</v>
      </c>
      <c r="D35" s="39">
        <v>98</v>
      </c>
    </row>
    <row r="36" spans="2:6" x14ac:dyDescent="0.2">
      <c r="B36" s="22" t="s">
        <v>161</v>
      </c>
      <c r="C36" s="23">
        <v>88</v>
      </c>
      <c r="D36" s="39">
        <v>65</v>
      </c>
    </row>
    <row r="37" spans="2:6" x14ac:dyDescent="0.2">
      <c r="B37" s="18" t="s">
        <v>162</v>
      </c>
      <c r="C37" s="23">
        <v>84</v>
      </c>
      <c r="D37" s="39">
        <v>92</v>
      </c>
    </row>
    <row r="38" spans="2:6" x14ac:dyDescent="0.2">
      <c r="B38" s="22" t="s">
        <v>163</v>
      </c>
      <c r="C38" s="23">
        <v>87</v>
      </c>
      <c r="D38" s="39">
        <v>80</v>
      </c>
    </row>
    <row r="39" spans="2:6" x14ac:dyDescent="0.2">
      <c r="B39" s="18" t="s">
        <v>164</v>
      </c>
      <c r="C39" s="23">
        <v>86</v>
      </c>
      <c r="D39" s="39">
        <v>89</v>
      </c>
    </row>
    <row r="40" spans="2:6" x14ac:dyDescent="0.2">
      <c r="B40" s="13" t="s">
        <v>143</v>
      </c>
      <c r="C40" s="13" t="s">
        <v>155</v>
      </c>
      <c r="D40" s="13" t="s">
        <v>156</v>
      </c>
      <c r="E40" s="13" t="s">
        <v>165</v>
      </c>
      <c r="F40" s="13" t="s">
        <v>166</v>
      </c>
    </row>
    <row r="41" spans="2:6" ht="16" x14ac:dyDescent="0.2">
      <c r="B41" s="36" t="s">
        <v>167</v>
      </c>
      <c r="C41" s="32"/>
      <c r="D41" s="32"/>
      <c r="E41" s="20" t="str">
        <f>IF(D41="","",IF(ABS(D41-83.375)&lt;0.05,"✅","❌"))</f>
        <v/>
      </c>
    </row>
    <row r="42" spans="2:6" ht="16" x14ac:dyDescent="0.2">
      <c r="B42" s="36" t="s">
        <v>116</v>
      </c>
      <c r="C42" s="32"/>
      <c r="D42" s="32"/>
      <c r="E42" s="20" t="str">
        <f>IF(D42="","",IF(ABS(D42-33)&lt;0.1,"✅","❌"))</f>
        <v/>
      </c>
    </row>
    <row r="43" spans="2:6" ht="16" x14ac:dyDescent="0.2">
      <c r="B43" s="36" t="s">
        <v>168</v>
      </c>
      <c r="C43" s="32"/>
      <c r="D43" s="32"/>
      <c r="E43" s="20" t="str">
        <f>IF(D43="","",IF(ABS(D43-11.246527)&lt;0.05,"✅","❌"))</f>
        <v/>
      </c>
    </row>
    <row r="45" spans="2:6" ht="15" customHeight="1" x14ac:dyDescent="0.2">
      <c r="B45" s="9" t="s">
        <v>169</v>
      </c>
      <c r="C45" s="9"/>
      <c r="D45" s="9"/>
      <c r="E45" s="9"/>
    </row>
    <row r="46" spans="2:6" x14ac:dyDescent="0.2">
      <c r="B46" s="2"/>
      <c r="C46" s="2"/>
      <c r="D46" s="2"/>
      <c r="E46" s="2"/>
    </row>
    <row r="47" spans="2:6" ht="15" customHeight="1" x14ac:dyDescent="0.2">
      <c r="B47" s="9" t="s">
        <v>170</v>
      </c>
      <c r="C47" s="9"/>
      <c r="D47" s="9"/>
      <c r="E47" s="9"/>
    </row>
    <row r="48" spans="2:6" x14ac:dyDescent="0.2">
      <c r="B48" s="2"/>
      <c r="C48" s="2"/>
      <c r="D48" s="2"/>
      <c r="E48" s="2"/>
    </row>
    <row r="49" spans="2:5" ht="26.75" customHeight="1" x14ac:dyDescent="0.2">
      <c r="B49" s="9" t="s">
        <v>171</v>
      </c>
      <c r="C49" s="9"/>
      <c r="D49" s="9"/>
      <c r="E49" s="9"/>
    </row>
    <row r="50" spans="2:5" x14ac:dyDescent="0.2">
      <c r="B50" s="2"/>
      <c r="C50" s="2"/>
      <c r="D50" s="2"/>
      <c r="E50" s="2"/>
    </row>
  </sheetData>
  <mergeCells count="13">
    <mergeCell ref="B48:E48"/>
    <mergeCell ref="B49:E49"/>
    <mergeCell ref="B50:E50"/>
    <mergeCell ref="A29:F29"/>
    <mergeCell ref="A30:F30"/>
    <mergeCell ref="B45:E45"/>
    <mergeCell ref="B46:E46"/>
    <mergeCell ref="B47:E47"/>
    <mergeCell ref="A1:F1"/>
    <mergeCell ref="A2:F2"/>
    <mergeCell ref="A4:F4"/>
    <mergeCell ref="A5:F5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16" customWidth="1"/>
    <col min="4" max="4" width="12" customWidth="1"/>
    <col min="5" max="5" width="16" customWidth="1"/>
    <col min="6" max="6" width="18" customWidth="1"/>
    <col min="7" max="7" width="3" customWidth="1"/>
  </cols>
  <sheetData>
    <row r="1" spans="1:7" ht="30" customHeight="1" x14ac:dyDescent="0.2">
      <c r="A1" s="8" t="s">
        <v>172</v>
      </c>
      <c r="B1" s="8"/>
      <c r="C1" s="8"/>
      <c r="D1" s="8"/>
      <c r="E1" s="8"/>
      <c r="F1" s="8"/>
    </row>
    <row r="2" spans="1:7" ht="15" customHeight="1" x14ac:dyDescent="0.2">
      <c r="A2" s="7" t="s">
        <v>135</v>
      </c>
      <c r="B2" s="7"/>
      <c r="C2" s="7"/>
      <c r="D2" s="7"/>
      <c r="E2" s="7"/>
      <c r="F2" s="7"/>
    </row>
    <row r="4" spans="1:7" ht="21.75" customHeight="1" x14ac:dyDescent="0.2">
      <c r="A4" s="6" t="s">
        <v>173</v>
      </c>
      <c r="B4" s="6"/>
      <c r="C4" s="6"/>
      <c r="D4" s="6"/>
      <c r="E4" s="6"/>
      <c r="F4" s="6"/>
    </row>
    <row r="5" spans="1:7" ht="15" customHeight="1" x14ac:dyDescent="0.2">
      <c r="A5" s="4" t="s">
        <v>174</v>
      </c>
      <c r="B5" s="4"/>
      <c r="C5" s="4"/>
      <c r="D5" s="4"/>
      <c r="E5" s="4"/>
      <c r="F5" s="4"/>
    </row>
    <row r="6" spans="1:7" x14ac:dyDescent="0.2">
      <c r="B6" s="30">
        <v>45</v>
      </c>
      <c r="C6" s="30">
        <v>62</v>
      </c>
      <c r="D6" s="30">
        <v>71</v>
      </c>
      <c r="E6" s="30">
        <v>58</v>
      </c>
      <c r="F6" s="30">
        <v>83</v>
      </c>
    </row>
    <row r="7" spans="1:7" x14ac:dyDescent="0.2">
      <c r="B7" s="30">
        <v>67</v>
      </c>
      <c r="C7" s="30">
        <v>55</v>
      </c>
      <c r="D7" s="30">
        <v>78</v>
      </c>
      <c r="E7" s="30">
        <v>91</v>
      </c>
      <c r="F7" s="30">
        <v>64</v>
      </c>
    </row>
    <row r="8" spans="1:7" x14ac:dyDescent="0.2">
      <c r="B8" s="30">
        <v>73</v>
      </c>
      <c r="C8" s="30">
        <v>49</v>
      </c>
      <c r="D8" s="30">
        <v>85</v>
      </c>
      <c r="E8" s="30">
        <v>70</v>
      </c>
      <c r="F8" s="30">
        <v>60</v>
      </c>
    </row>
    <row r="9" spans="1:7" x14ac:dyDescent="0.2">
      <c r="B9" s="30">
        <v>77</v>
      </c>
      <c r="C9" s="30">
        <v>88</v>
      </c>
      <c r="D9" s="30">
        <v>52</v>
      </c>
      <c r="E9" s="30">
        <v>66</v>
      </c>
      <c r="F9" s="30">
        <v>95</v>
      </c>
    </row>
    <row r="11" spans="1:7" ht="15" customHeight="1" x14ac:dyDescent="0.2">
      <c r="A11" s="4" t="s">
        <v>175</v>
      </c>
      <c r="B11" s="4"/>
      <c r="C11" s="4"/>
      <c r="D11" s="4"/>
      <c r="E11" s="4"/>
      <c r="F11" s="4"/>
    </row>
    <row r="12" spans="1:7" x14ac:dyDescent="0.2">
      <c r="B12" s="13" t="s">
        <v>176</v>
      </c>
      <c r="C12" s="13" t="s">
        <v>177</v>
      </c>
      <c r="D12" s="13" t="s">
        <v>178</v>
      </c>
      <c r="E12" s="13" t="s">
        <v>179</v>
      </c>
      <c r="F12" s="13" t="s">
        <v>180</v>
      </c>
    </row>
    <row r="13" spans="1:7" ht="16" x14ac:dyDescent="0.2">
      <c r="B13" s="25"/>
      <c r="C13" s="25"/>
      <c r="D13" s="25"/>
      <c r="E13" s="25"/>
      <c r="F13" s="25"/>
      <c r="G13" s="20" t="str">
        <f>IF(F13="","",IF(ABS(F13-58)&lt;0.1,"✅","❌"))</f>
        <v/>
      </c>
    </row>
    <row r="14" spans="1:7" ht="16" x14ac:dyDescent="0.2">
      <c r="B14" s="25"/>
      <c r="C14" s="25"/>
      <c r="D14" s="25"/>
      <c r="E14" s="25"/>
      <c r="F14" s="25"/>
      <c r="G14" s="20" t="str">
        <f>IF(F14="","",IF(ABS(F14-67)&lt;0.1,"✅","❌"))</f>
        <v/>
      </c>
    </row>
    <row r="15" spans="1:7" ht="16" x14ac:dyDescent="0.2">
      <c r="B15" s="25"/>
      <c r="C15" s="25"/>
      <c r="D15" s="25"/>
      <c r="E15" s="25"/>
      <c r="F15" s="25"/>
      <c r="G15" s="20" t="str">
        <f>IF(F15="","",IF(ABS(F15-78)&lt;0.1,"✅","❌"))</f>
        <v/>
      </c>
    </row>
    <row r="16" spans="1:7" ht="16" x14ac:dyDescent="0.2">
      <c r="B16" s="25"/>
      <c r="C16" s="25"/>
      <c r="D16" s="25"/>
      <c r="E16" s="25"/>
      <c r="F16" s="25"/>
      <c r="G16" s="20" t="str">
        <f>IF(F16="","",IF(ABS(F16-95)&lt;0.1,"✅","❌"))</f>
        <v/>
      </c>
    </row>
    <row r="18" spans="1:6" ht="21.75" customHeight="1" x14ac:dyDescent="0.2">
      <c r="A18" s="6" t="s">
        <v>181</v>
      </c>
      <c r="B18" s="6"/>
      <c r="C18" s="6"/>
      <c r="D18" s="6"/>
      <c r="E18" s="6"/>
      <c r="F18" s="6"/>
    </row>
    <row r="19" spans="1:6" ht="30" x14ac:dyDescent="0.2">
      <c r="B19" s="13" t="s">
        <v>143</v>
      </c>
      <c r="C19" s="13" t="s">
        <v>182</v>
      </c>
      <c r="D19" s="13" t="s">
        <v>110</v>
      </c>
      <c r="E19" s="13" t="s">
        <v>28</v>
      </c>
      <c r="F19" s="13"/>
    </row>
    <row r="20" spans="1:6" ht="16" x14ac:dyDescent="0.2">
      <c r="B20" s="33" t="s">
        <v>183</v>
      </c>
      <c r="C20" s="36" t="s">
        <v>184</v>
      </c>
      <c r="D20" s="26"/>
      <c r="E20" s="20" t="str">
        <f>IF(D20="","",IF(ABS(D20-45)&lt;0.1,"✅","❌"))</f>
        <v/>
      </c>
    </row>
    <row r="21" spans="1:6" ht="16" x14ac:dyDescent="0.2">
      <c r="B21" s="31" t="s">
        <v>185</v>
      </c>
      <c r="C21" s="36" t="s">
        <v>186</v>
      </c>
      <c r="D21" s="26"/>
      <c r="E21" s="20" t="str">
        <f>IF(D21="","",IF(ABS(D21-58.5)&lt;0.5,"✅","❌"))</f>
        <v/>
      </c>
    </row>
    <row r="22" spans="1:6" ht="16" x14ac:dyDescent="0.2">
      <c r="B22" s="33" t="s">
        <v>114</v>
      </c>
      <c r="C22" s="36" t="s">
        <v>187</v>
      </c>
      <c r="D22" s="26"/>
      <c r="E22" s="20" t="str">
        <f>IF(D22="","",IF(ABS(D22-68.5)&lt;0.1,"✅","❌"))</f>
        <v/>
      </c>
    </row>
    <row r="23" spans="1:6" ht="16" x14ac:dyDescent="0.2">
      <c r="B23" s="31" t="s">
        <v>188</v>
      </c>
      <c r="C23" s="36" t="s">
        <v>189</v>
      </c>
      <c r="D23" s="26"/>
      <c r="E23" s="20" t="str">
        <f>IF(D23="","",IF(ABS(D23-81.75)&lt;0.5,"✅","❌"))</f>
        <v/>
      </c>
    </row>
    <row r="24" spans="1:6" ht="16" x14ac:dyDescent="0.2">
      <c r="B24" s="33" t="s">
        <v>190</v>
      </c>
      <c r="C24" s="36" t="s">
        <v>191</v>
      </c>
      <c r="D24" s="26"/>
      <c r="E24" s="20" t="str">
        <f>IF(D24="","",IF(ABS(D24-95)&lt;0.1,"✅","❌"))</f>
        <v/>
      </c>
    </row>
    <row r="26" spans="1:6" ht="21.75" customHeight="1" x14ac:dyDescent="0.2">
      <c r="A26" s="6" t="s">
        <v>192</v>
      </c>
      <c r="B26" s="6"/>
      <c r="C26" s="6"/>
      <c r="D26" s="6"/>
      <c r="E26" s="6"/>
      <c r="F26" s="6"/>
    </row>
    <row r="27" spans="1:6" x14ac:dyDescent="0.2">
      <c r="B27" s="13" t="s">
        <v>193</v>
      </c>
      <c r="C27" s="13" t="s">
        <v>110</v>
      </c>
      <c r="D27" s="13" t="s">
        <v>28</v>
      </c>
      <c r="E27" s="13" t="s">
        <v>194</v>
      </c>
      <c r="F27" s="13"/>
    </row>
    <row r="28" spans="1:6" ht="16" x14ac:dyDescent="0.2">
      <c r="B28" s="33" t="s">
        <v>195</v>
      </c>
      <c r="C28" s="26"/>
      <c r="D28" s="20" t="str">
        <f>IF(C28="","",IF(ABS(C28-23.25)&lt;0.5,"✅","❌"))</f>
        <v/>
      </c>
      <c r="E28" s="21" t="s">
        <v>196</v>
      </c>
    </row>
    <row r="29" spans="1:6" ht="16" x14ac:dyDescent="0.2">
      <c r="B29" s="31" t="s">
        <v>197</v>
      </c>
      <c r="C29" s="26"/>
      <c r="D29" s="20" t="str">
        <f>IF(C29="","",IF(ABS(C29-23.625)&lt;0.5,"✅","❌"))</f>
        <v/>
      </c>
      <c r="E29" s="21" t="s">
        <v>198</v>
      </c>
    </row>
    <row r="30" spans="1:6" ht="16" x14ac:dyDescent="0.2">
      <c r="B30" s="33" t="s">
        <v>199</v>
      </c>
      <c r="C30" s="26"/>
      <c r="D30" s="20" t="str">
        <f>IF(C30="","",IF(ABS(C30-116.625)&lt;0.5,"✅","❌"))</f>
        <v/>
      </c>
      <c r="E30" s="21" t="s">
        <v>200</v>
      </c>
    </row>
    <row r="32" spans="1:6" ht="15" customHeight="1" x14ac:dyDescent="0.2">
      <c r="B32" s="9" t="s">
        <v>201</v>
      </c>
      <c r="C32" s="9"/>
      <c r="D32" s="9"/>
      <c r="E32" s="9"/>
      <c r="F32" s="9"/>
    </row>
    <row r="33" spans="1:6" x14ac:dyDescent="0.2">
      <c r="B33" s="2"/>
      <c r="C33" s="2"/>
      <c r="D33" s="2"/>
      <c r="E33" s="2"/>
    </row>
    <row r="35" spans="1:6" ht="21.75" customHeight="1" x14ac:dyDescent="0.2">
      <c r="A35" s="6" t="s">
        <v>202</v>
      </c>
      <c r="B35" s="6"/>
      <c r="C35" s="6"/>
      <c r="D35" s="6"/>
      <c r="E35" s="6"/>
      <c r="F35" s="6"/>
    </row>
    <row r="36" spans="1:6" ht="15" customHeight="1" x14ac:dyDescent="0.2">
      <c r="A36" s="4" t="s">
        <v>203</v>
      </c>
      <c r="B36" s="4"/>
      <c r="C36" s="4"/>
      <c r="D36" s="4"/>
      <c r="E36" s="4"/>
      <c r="F36" s="4"/>
    </row>
    <row r="37" spans="1:6" x14ac:dyDescent="0.2">
      <c r="B37" s="13" t="s">
        <v>204</v>
      </c>
      <c r="C37" s="13" t="s">
        <v>205</v>
      </c>
      <c r="D37" s="13" t="s">
        <v>28</v>
      </c>
      <c r="E37" s="13" t="s">
        <v>206</v>
      </c>
      <c r="F37" s="13"/>
    </row>
    <row r="38" spans="1:6" ht="32" x14ac:dyDescent="0.2">
      <c r="B38" s="33" t="s">
        <v>207</v>
      </c>
      <c r="C38" s="26"/>
      <c r="D38" s="20" t="str">
        <f>IF(C38="","",IF(ABS(C38-45)&lt;0.5,"✅","❌"))</f>
        <v/>
      </c>
      <c r="E38" s="21" t="s">
        <v>208</v>
      </c>
    </row>
    <row r="39" spans="1:6" ht="16" x14ac:dyDescent="0.2">
      <c r="B39" s="31" t="s">
        <v>209</v>
      </c>
      <c r="C39" s="26"/>
      <c r="D39" s="20" t="str">
        <f>IF(C39="","",IF(ABS(C39-58.5)&lt;0.5,"✅","❌"))</f>
        <v/>
      </c>
      <c r="E39" s="21" t="s">
        <v>210</v>
      </c>
    </row>
    <row r="40" spans="1:6" ht="16" x14ac:dyDescent="0.2">
      <c r="B40" s="33" t="s">
        <v>211</v>
      </c>
      <c r="C40" s="26"/>
      <c r="D40" s="20" t="str">
        <f>IF(C40="","",IF(ABS(C40-68.5)&lt;0.5,"✅","❌"))</f>
        <v/>
      </c>
      <c r="E40" s="21" t="s">
        <v>212</v>
      </c>
    </row>
    <row r="41" spans="1:6" ht="16" x14ac:dyDescent="0.2">
      <c r="B41" s="31" t="s">
        <v>213</v>
      </c>
      <c r="C41" s="26"/>
      <c r="D41" s="20" t="str">
        <f>IF(C41="","",IF(ABS(C41-81.75)&lt;0.5,"✅","❌"))</f>
        <v/>
      </c>
      <c r="E41" s="21" t="s">
        <v>214</v>
      </c>
    </row>
    <row r="42" spans="1:6" ht="32" x14ac:dyDescent="0.2">
      <c r="B42" s="33" t="s">
        <v>215</v>
      </c>
      <c r="C42" s="26"/>
      <c r="D42" s="20" t="str">
        <f>IF(C42="","",IF(ABS(C42-95)&lt;0.5,"✅","❌"))</f>
        <v/>
      </c>
      <c r="E42" s="21" t="s">
        <v>216</v>
      </c>
    </row>
    <row r="44" spans="1:6" ht="15" customHeight="1" x14ac:dyDescent="0.2">
      <c r="A44" s="5" t="s">
        <v>217</v>
      </c>
      <c r="B44" s="5"/>
      <c r="C44" s="5"/>
      <c r="D44" s="5"/>
      <c r="E44" s="5"/>
      <c r="F44" s="5"/>
    </row>
  </sheetData>
  <mergeCells count="12">
    <mergeCell ref="A36:F36"/>
    <mergeCell ref="A44:F44"/>
    <mergeCell ref="A18:F18"/>
    <mergeCell ref="A26:F26"/>
    <mergeCell ref="B32:F32"/>
    <mergeCell ref="B33:E33"/>
    <mergeCell ref="A35:F35"/>
    <mergeCell ref="A1:F1"/>
    <mergeCell ref="A2:F2"/>
    <mergeCell ref="A4:F4"/>
    <mergeCell ref="A5:F5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9"/>
  <sheetViews>
    <sheetView zoomScaleNormal="100" workbookViewId="0">
      <selection activeCell="K69" sqref="K69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16" customWidth="1"/>
    <col min="4" max="5" width="14" customWidth="1"/>
    <col min="6" max="6" width="18" customWidth="1"/>
    <col min="7" max="7" width="3" customWidth="1"/>
  </cols>
  <sheetData>
    <row r="1" spans="1:6" ht="30" customHeight="1" x14ac:dyDescent="0.2">
      <c r="A1" s="8" t="s">
        <v>218</v>
      </c>
      <c r="B1" s="8"/>
      <c r="C1" s="8"/>
      <c r="D1" s="8"/>
      <c r="E1" s="8"/>
      <c r="F1" s="8"/>
    </row>
    <row r="2" spans="1:6" ht="15" customHeight="1" x14ac:dyDescent="0.2">
      <c r="A2" s="7" t="s">
        <v>219</v>
      </c>
      <c r="B2" s="7"/>
      <c r="C2" s="7"/>
      <c r="D2" s="7"/>
      <c r="E2" s="7"/>
      <c r="F2" s="7"/>
    </row>
    <row r="4" spans="1:6" ht="21.75" customHeight="1" x14ac:dyDescent="0.2">
      <c r="A4" s="6" t="s">
        <v>220</v>
      </c>
      <c r="B4" s="6"/>
      <c r="C4" s="6"/>
      <c r="D4" s="6"/>
      <c r="E4" s="6"/>
      <c r="F4" s="6"/>
    </row>
    <row r="5" spans="1:6" ht="26.75" customHeight="1" x14ac:dyDescent="0.2">
      <c r="B5" s="9" t="s">
        <v>221</v>
      </c>
      <c r="C5" s="9"/>
      <c r="D5" s="9"/>
      <c r="E5" s="9"/>
      <c r="F5" s="9"/>
    </row>
    <row r="7" spans="1:6" x14ac:dyDescent="0.2">
      <c r="B7" s="13" t="s">
        <v>137</v>
      </c>
      <c r="C7" s="13" t="s">
        <v>222</v>
      </c>
      <c r="D7" s="13" t="s">
        <v>223</v>
      </c>
      <c r="E7" s="13"/>
      <c r="F7" s="13" t="s">
        <v>224</v>
      </c>
    </row>
    <row r="8" spans="1:6" x14ac:dyDescent="0.2">
      <c r="B8" s="24">
        <v>1</v>
      </c>
      <c r="C8" s="40">
        <v>28</v>
      </c>
      <c r="D8" s="41">
        <v>25</v>
      </c>
    </row>
    <row r="9" spans="1:6" x14ac:dyDescent="0.2">
      <c r="B9" s="24">
        <v>2</v>
      </c>
      <c r="C9" s="40">
        <v>31</v>
      </c>
      <c r="D9" s="41">
        <v>26</v>
      </c>
    </row>
    <row r="10" spans="1:6" x14ac:dyDescent="0.2">
      <c r="B10" s="24">
        <v>3</v>
      </c>
      <c r="C10" s="40">
        <v>35</v>
      </c>
      <c r="D10" s="41">
        <v>27</v>
      </c>
    </row>
    <row r="11" spans="1:6" x14ac:dyDescent="0.2">
      <c r="B11" s="24">
        <v>4</v>
      </c>
      <c r="C11" s="40">
        <v>29</v>
      </c>
      <c r="D11" s="41">
        <v>28</v>
      </c>
    </row>
    <row r="12" spans="1:6" x14ac:dyDescent="0.2">
      <c r="B12" s="24">
        <v>5</v>
      </c>
      <c r="C12" s="40">
        <v>33</v>
      </c>
      <c r="D12" s="41">
        <v>26</v>
      </c>
    </row>
    <row r="13" spans="1:6" x14ac:dyDescent="0.2">
      <c r="B13" s="24">
        <v>6</v>
      </c>
      <c r="C13" s="40">
        <v>38</v>
      </c>
      <c r="D13" s="41">
        <v>29</v>
      </c>
    </row>
    <row r="14" spans="1:6" x14ac:dyDescent="0.2">
      <c r="B14" s="24">
        <v>7</v>
      </c>
      <c r="C14" s="40">
        <v>42</v>
      </c>
      <c r="D14" s="41">
        <v>30</v>
      </c>
    </row>
    <row r="15" spans="1:6" x14ac:dyDescent="0.2">
      <c r="B15" s="24">
        <v>8</v>
      </c>
      <c r="C15" s="40">
        <v>36</v>
      </c>
      <c r="D15" s="41">
        <v>31</v>
      </c>
    </row>
    <row r="16" spans="1:6" x14ac:dyDescent="0.2">
      <c r="B16" s="24">
        <v>9</v>
      </c>
      <c r="C16" s="40">
        <v>30</v>
      </c>
      <c r="D16" s="41">
        <v>28</v>
      </c>
    </row>
    <row r="17" spans="2:4" x14ac:dyDescent="0.2">
      <c r="B17" s="24">
        <v>10</v>
      </c>
      <c r="C17" s="40">
        <v>29</v>
      </c>
      <c r="D17" s="41">
        <v>27</v>
      </c>
    </row>
    <row r="18" spans="2:4" x14ac:dyDescent="0.2">
      <c r="B18" s="24">
        <v>11</v>
      </c>
      <c r="C18" s="40">
        <v>34</v>
      </c>
      <c r="D18" s="41">
        <v>26</v>
      </c>
    </row>
    <row r="19" spans="2:4" x14ac:dyDescent="0.2">
      <c r="B19" s="24">
        <v>12</v>
      </c>
      <c r="C19" s="40">
        <v>37</v>
      </c>
      <c r="D19" s="41">
        <v>29</v>
      </c>
    </row>
    <row r="20" spans="2:4" x14ac:dyDescent="0.2">
      <c r="B20" s="24">
        <v>13</v>
      </c>
      <c r="C20" s="40">
        <v>41</v>
      </c>
      <c r="D20" s="41">
        <v>31</v>
      </c>
    </row>
    <row r="21" spans="2:4" x14ac:dyDescent="0.2">
      <c r="B21" s="24">
        <v>14</v>
      </c>
      <c r="C21" s="40">
        <v>33</v>
      </c>
      <c r="D21" s="41">
        <v>32</v>
      </c>
    </row>
    <row r="22" spans="2:4" x14ac:dyDescent="0.2">
      <c r="B22" s="24">
        <v>15</v>
      </c>
      <c r="C22" s="40">
        <v>28</v>
      </c>
      <c r="D22" s="41">
        <v>28</v>
      </c>
    </row>
    <row r="23" spans="2:4" x14ac:dyDescent="0.2">
      <c r="B23" s="24">
        <v>16</v>
      </c>
      <c r="C23" s="40">
        <v>31</v>
      </c>
      <c r="D23" s="41">
        <v>27</v>
      </c>
    </row>
    <row r="24" spans="2:4" x14ac:dyDescent="0.2">
      <c r="B24" s="24">
        <v>17</v>
      </c>
      <c r="C24" s="40">
        <v>35</v>
      </c>
      <c r="D24" s="41">
        <v>26</v>
      </c>
    </row>
    <row r="25" spans="2:4" x14ac:dyDescent="0.2">
      <c r="B25" s="24">
        <v>18</v>
      </c>
      <c r="C25" s="40">
        <v>39</v>
      </c>
      <c r="D25" s="41">
        <v>28</v>
      </c>
    </row>
    <row r="26" spans="2:4" x14ac:dyDescent="0.2">
      <c r="B26" s="24">
        <v>19</v>
      </c>
      <c r="C26" s="40">
        <v>43</v>
      </c>
      <c r="D26" s="41">
        <v>30</v>
      </c>
    </row>
    <row r="27" spans="2:4" x14ac:dyDescent="0.2">
      <c r="B27" s="24">
        <v>20</v>
      </c>
      <c r="C27" s="40">
        <v>36</v>
      </c>
      <c r="D27" s="41">
        <v>31</v>
      </c>
    </row>
    <row r="28" spans="2:4" x14ac:dyDescent="0.2">
      <c r="B28" s="24">
        <v>21</v>
      </c>
      <c r="C28" s="40">
        <v>30</v>
      </c>
      <c r="D28" s="41">
        <v>29</v>
      </c>
    </row>
    <row r="29" spans="2:4" x14ac:dyDescent="0.2">
      <c r="B29" s="24">
        <v>22</v>
      </c>
      <c r="C29" s="40">
        <v>32</v>
      </c>
      <c r="D29" s="41">
        <v>28</v>
      </c>
    </row>
    <row r="30" spans="2:4" x14ac:dyDescent="0.2">
      <c r="B30" s="24">
        <v>23</v>
      </c>
      <c r="C30" s="40">
        <v>38</v>
      </c>
      <c r="D30" s="41">
        <v>27</v>
      </c>
    </row>
    <row r="31" spans="2:4" x14ac:dyDescent="0.2">
      <c r="B31" s="24">
        <v>24</v>
      </c>
      <c r="C31" s="40">
        <v>40</v>
      </c>
      <c r="D31" s="41">
        <v>26</v>
      </c>
    </row>
    <row r="32" spans="2:4" x14ac:dyDescent="0.2">
      <c r="B32" s="24">
        <v>25</v>
      </c>
      <c r="C32" s="40">
        <v>35</v>
      </c>
      <c r="D32" s="41">
        <v>28</v>
      </c>
    </row>
    <row r="33" spans="1:6" x14ac:dyDescent="0.2">
      <c r="B33" s="24">
        <v>26</v>
      </c>
      <c r="C33" s="40">
        <v>29</v>
      </c>
      <c r="D33" s="41">
        <v>30</v>
      </c>
    </row>
    <row r="34" spans="1:6" x14ac:dyDescent="0.2">
      <c r="B34" s="24">
        <v>27</v>
      </c>
      <c r="C34" s="40">
        <v>33</v>
      </c>
      <c r="D34" s="41">
        <v>31</v>
      </c>
    </row>
    <row r="35" spans="1:6" x14ac:dyDescent="0.2">
      <c r="B35" s="24">
        <v>28</v>
      </c>
      <c r="C35" s="40">
        <v>37</v>
      </c>
      <c r="D35" s="41">
        <v>32</v>
      </c>
    </row>
    <row r="36" spans="1:6" x14ac:dyDescent="0.2">
      <c r="B36" s="24">
        <v>29</v>
      </c>
      <c r="C36" s="40">
        <v>41</v>
      </c>
      <c r="D36" s="41">
        <v>29</v>
      </c>
    </row>
    <row r="37" spans="1:6" x14ac:dyDescent="0.2">
      <c r="B37" s="24">
        <v>30</v>
      </c>
      <c r="C37" s="40">
        <v>36</v>
      </c>
      <c r="D37" s="41">
        <v>28</v>
      </c>
    </row>
    <row r="38" spans="1:6" x14ac:dyDescent="0.2">
      <c r="B38" s="24">
        <v>31</v>
      </c>
      <c r="C38" s="40">
        <v>30</v>
      </c>
      <c r="D38" s="41">
        <v>27</v>
      </c>
    </row>
    <row r="40" spans="1:6" ht="21.75" customHeight="1" x14ac:dyDescent="0.2">
      <c r="A40" s="6" t="s">
        <v>225</v>
      </c>
      <c r="B40" s="6"/>
      <c r="C40" s="6"/>
      <c r="D40" s="6"/>
      <c r="E40" s="6"/>
      <c r="F40" s="6"/>
    </row>
    <row r="41" spans="1:6" ht="15" customHeight="1" x14ac:dyDescent="0.2">
      <c r="A41" s="4" t="s">
        <v>226</v>
      </c>
      <c r="B41" s="4"/>
      <c r="C41" s="4"/>
      <c r="D41" s="4"/>
      <c r="E41" s="4"/>
      <c r="F41" s="4"/>
    </row>
    <row r="42" spans="1:6" ht="30" x14ac:dyDescent="0.2">
      <c r="B42" s="13" t="s">
        <v>143</v>
      </c>
      <c r="C42" s="13" t="s">
        <v>227</v>
      </c>
      <c r="D42" s="13" t="s">
        <v>228</v>
      </c>
      <c r="E42" s="13" t="s">
        <v>165</v>
      </c>
      <c r="F42" s="13" t="s">
        <v>166</v>
      </c>
    </row>
    <row r="43" spans="1:6" ht="16" x14ac:dyDescent="0.2">
      <c r="B43" s="31" t="s">
        <v>167</v>
      </c>
      <c r="C43" s="32"/>
      <c r="D43" s="42"/>
      <c r="E43" s="20" t="str">
        <f>IF(D43="","",IF(ABS(D43-28.387097)&lt;0.05,"✅","❌"))</f>
        <v/>
      </c>
    </row>
    <row r="44" spans="1:6" ht="16" x14ac:dyDescent="0.2">
      <c r="B44" s="33" t="s">
        <v>114</v>
      </c>
      <c r="C44" s="32"/>
      <c r="D44" s="42"/>
      <c r="E44" s="20" t="str">
        <f>IF(D44="","",IF(ABS(D44-28)&lt;0.5,"✅","❌"))</f>
        <v/>
      </c>
    </row>
    <row r="45" spans="1:6" ht="16" x14ac:dyDescent="0.2">
      <c r="B45" s="31" t="s">
        <v>184</v>
      </c>
      <c r="C45" s="32"/>
      <c r="D45" s="42"/>
      <c r="E45" s="20" t="str">
        <f>IF(D45="","",IF(ABS(D45-25)&lt;0.1,"✅","❌"))</f>
        <v/>
      </c>
    </row>
    <row r="46" spans="1:6" ht="16" x14ac:dyDescent="0.2">
      <c r="B46" s="33" t="s">
        <v>191</v>
      </c>
      <c r="C46" s="32"/>
      <c r="D46" s="42"/>
      <c r="E46" s="20" t="str">
        <f>IF(D46="","",IF(ABS(D46-32)&lt;0.1,"✅","❌"))</f>
        <v/>
      </c>
    </row>
    <row r="47" spans="1:6" ht="16" x14ac:dyDescent="0.2">
      <c r="B47" s="31" t="s">
        <v>116</v>
      </c>
      <c r="C47" s="32"/>
      <c r="D47" s="42"/>
      <c r="E47" s="20" t="str">
        <f>IF(D47="","",IF(ABS(D47-7)&lt;0.1,"✅","❌"))</f>
        <v/>
      </c>
    </row>
    <row r="48" spans="1:6" ht="16" x14ac:dyDescent="0.2">
      <c r="B48" s="33" t="s">
        <v>186</v>
      </c>
      <c r="C48" s="32"/>
      <c r="D48" s="42"/>
      <c r="E48" s="20" t="str">
        <f>IF(D48="","",IF(ABS(D48-27)&lt;0.5,"✅","❌"))</f>
        <v/>
      </c>
    </row>
    <row r="49" spans="1:6" ht="16" x14ac:dyDescent="0.2">
      <c r="B49" s="31" t="s">
        <v>189</v>
      </c>
      <c r="C49" s="32"/>
      <c r="D49" s="42"/>
      <c r="E49" s="20" t="str">
        <f>IF(D49="","",IF(ABS(D49-30)&lt;0.5,"✅","❌"))</f>
        <v/>
      </c>
    </row>
    <row r="50" spans="1:6" ht="16" x14ac:dyDescent="0.2">
      <c r="B50" s="33" t="s">
        <v>229</v>
      </c>
      <c r="C50" s="32"/>
      <c r="D50" s="42"/>
      <c r="E50" s="20" t="str">
        <f>IF(D50="","",IF(ABS(D50-3)&lt;0.5,"✅","❌"))</f>
        <v/>
      </c>
    </row>
    <row r="51" spans="1:6" ht="16" x14ac:dyDescent="0.2">
      <c r="B51" s="31" t="s">
        <v>230</v>
      </c>
      <c r="C51" s="32"/>
      <c r="D51" s="42"/>
      <c r="E51" s="20" t="str">
        <f>IF(D51="","",IF(ABS(D51-1.912226)&lt;0.05,"✅","❌"))</f>
        <v/>
      </c>
    </row>
    <row r="53" spans="1:6" ht="21.75" customHeight="1" x14ac:dyDescent="0.2">
      <c r="A53" s="6" t="s">
        <v>231</v>
      </c>
      <c r="B53" s="6"/>
      <c r="C53" s="6"/>
      <c r="D53" s="6"/>
      <c r="E53" s="6"/>
      <c r="F53" s="6"/>
    </row>
    <row r="54" spans="1:6" x14ac:dyDescent="0.2">
      <c r="B54" s="13" t="s">
        <v>193</v>
      </c>
      <c r="C54" s="13" t="s">
        <v>110</v>
      </c>
      <c r="D54" s="13" t="s">
        <v>28</v>
      </c>
      <c r="E54" s="13" t="s">
        <v>29</v>
      </c>
      <c r="F54" s="13"/>
    </row>
    <row r="55" spans="1:6" ht="16" x14ac:dyDescent="0.2">
      <c r="B55" s="36" t="s">
        <v>232</v>
      </c>
      <c r="C55" s="26"/>
      <c r="D55" s="20" t="str">
        <f>IF(C55="","",IF(ABS(C55-18)&lt;0.5,"✅","❌"))</f>
        <v/>
      </c>
      <c r="E55" s="21" t="s">
        <v>233</v>
      </c>
    </row>
    <row r="56" spans="1:6" ht="16" x14ac:dyDescent="0.2">
      <c r="B56" s="36" t="s">
        <v>234</v>
      </c>
      <c r="C56" s="26"/>
      <c r="D56" s="20" t="str">
        <f>IF(C56="","",IF(ABS(C56-50)&lt;0.5,"✅","❌"))</f>
        <v/>
      </c>
      <c r="E56" s="21" t="s">
        <v>235</v>
      </c>
    </row>
    <row r="57" spans="1:6" ht="15" customHeight="1" x14ac:dyDescent="0.2">
      <c r="B57" s="9" t="s">
        <v>236</v>
      </c>
      <c r="C57" s="9"/>
      <c r="D57" s="9"/>
      <c r="E57" s="9"/>
    </row>
    <row r="58" spans="1:6" x14ac:dyDescent="0.2">
      <c r="B58" s="2"/>
      <c r="C58" s="2"/>
      <c r="D58" s="2"/>
      <c r="E58" s="2"/>
    </row>
    <row r="60" spans="1:6" ht="21.75" customHeight="1" x14ac:dyDescent="0.2">
      <c r="A60" s="6" t="s">
        <v>237</v>
      </c>
      <c r="B60" s="6"/>
      <c r="C60" s="6"/>
      <c r="D60" s="6"/>
      <c r="E60" s="6"/>
      <c r="F60" s="6"/>
    </row>
    <row r="61" spans="1:6" ht="43.25" customHeight="1" x14ac:dyDescent="0.2">
      <c r="B61" s="9" t="s">
        <v>238</v>
      </c>
      <c r="C61" s="9"/>
      <c r="D61" s="9"/>
      <c r="E61" s="9"/>
      <c r="F61" s="43" t="s">
        <v>239</v>
      </c>
    </row>
    <row r="62" spans="1:6" x14ac:dyDescent="0.2">
      <c r="B62" s="1"/>
      <c r="C62" s="1"/>
      <c r="D62" s="1"/>
      <c r="E62" s="1"/>
    </row>
    <row r="63" spans="1:6" x14ac:dyDescent="0.2">
      <c r="B63" s="1"/>
      <c r="C63" s="1"/>
      <c r="D63" s="1"/>
      <c r="E63" s="1"/>
    </row>
    <row r="65" spans="2:6" ht="26.75" customHeight="1" x14ac:dyDescent="0.2">
      <c r="B65" s="9" t="s">
        <v>240</v>
      </c>
      <c r="C65" s="9"/>
      <c r="D65" s="9"/>
      <c r="E65" s="9"/>
      <c r="F65" s="43" t="s">
        <v>241</v>
      </c>
    </row>
    <row r="66" spans="2:6" x14ac:dyDescent="0.2">
      <c r="B66" s="1"/>
      <c r="C66" s="1"/>
      <c r="D66" s="1"/>
      <c r="E66" s="1"/>
    </row>
    <row r="67" spans="2:6" x14ac:dyDescent="0.2">
      <c r="B67" s="1"/>
      <c r="C67" s="1"/>
      <c r="D67" s="1"/>
      <c r="E67" s="1"/>
    </row>
    <row r="69" spans="2:6" ht="43.25" customHeight="1" x14ac:dyDescent="0.2">
      <c r="B69" s="9" t="s">
        <v>242</v>
      </c>
      <c r="C69" s="9"/>
      <c r="D69" s="9"/>
      <c r="E69" s="9"/>
      <c r="F69" s="43" t="s">
        <v>243</v>
      </c>
    </row>
    <row r="70" spans="2:6" x14ac:dyDescent="0.2">
      <c r="B70" s="1"/>
      <c r="C70" s="1"/>
      <c r="D70" s="1"/>
      <c r="E70" s="1"/>
    </row>
    <row r="71" spans="2:6" x14ac:dyDescent="0.2">
      <c r="B71" s="1"/>
      <c r="C71" s="1"/>
      <c r="D71" s="1"/>
      <c r="E71" s="1"/>
    </row>
    <row r="73" spans="2:6" ht="43.25" customHeight="1" x14ac:dyDescent="0.2">
      <c r="B73" s="9" t="s">
        <v>244</v>
      </c>
      <c r="C73" s="9"/>
      <c r="D73" s="9"/>
      <c r="E73" s="9"/>
      <c r="F73" s="43" t="s">
        <v>245</v>
      </c>
    </row>
    <row r="74" spans="2:6" x14ac:dyDescent="0.2">
      <c r="B74" s="1"/>
      <c r="C74" s="1"/>
      <c r="D74" s="1"/>
      <c r="E74" s="1"/>
    </row>
    <row r="75" spans="2:6" x14ac:dyDescent="0.2">
      <c r="B75" s="1"/>
      <c r="C75" s="1"/>
      <c r="D75" s="1"/>
      <c r="E75" s="1"/>
    </row>
    <row r="77" spans="2:6" ht="53.75" customHeight="1" x14ac:dyDescent="0.2">
      <c r="B77" s="9" t="s">
        <v>246</v>
      </c>
      <c r="C77" s="9"/>
      <c r="D77" s="9"/>
      <c r="E77" s="9"/>
      <c r="F77" s="43" t="s">
        <v>247</v>
      </c>
    </row>
    <row r="78" spans="2:6" x14ac:dyDescent="0.2">
      <c r="B78" s="1"/>
      <c r="C78" s="1"/>
      <c r="D78" s="1"/>
      <c r="E78" s="1"/>
    </row>
    <row r="79" spans="2:6" x14ac:dyDescent="0.2">
      <c r="B79" s="1"/>
      <c r="C79" s="1"/>
      <c r="D79" s="1"/>
      <c r="E79" s="1"/>
    </row>
  </sheetData>
  <mergeCells count="20">
    <mergeCell ref="B70:E71"/>
    <mergeCell ref="B73:E73"/>
    <mergeCell ref="B74:E75"/>
    <mergeCell ref="B77:E77"/>
    <mergeCell ref="B78:E79"/>
    <mergeCell ref="B61:E61"/>
    <mergeCell ref="B62:E63"/>
    <mergeCell ref="B65:E65"/>
    <mergeCell ref="B66:E67"/>
    <mergeCell ref="B69:E69"/>
    <mergeCell ref="A41:F41"/>
    <mergeCell ref="A53:F53"/>
    <mergeCell ref="B57:E57"/>
    <mergeCell ref="B58:E58"/>
    <mergeCell ref="A60:F60"/>
    <mergeCell ref="A1:F1"/>
    <mergeCell ref="A2:F2"/>
    <mergeCell ref="A4:F4"/>
    <mergeCell ref="B5:F5"/>
    <mergeCell ref="A40:F4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Instructions</vt:lpstr>
      <vt:lpstr>Q1 Classification</vt:lpstr>
      <vt:lpstr>Q2 Freq Tables</vt:lpstr>
      <vt:lpstr>Q3 Centre &amp; Shape</vt:lpstr>
      <vt:lpstr>Q4 Spread</vt:lpstr>
      <vt:lpstr>Q5 Quartiles IQR</vt:lpstr>
      <vt:lpstr>Q6 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Yenul Weerabahu Mudiyanselage</cp:lastModifiedBy>
  <cp:revision>0</cp:revision>
  <dcterms:created xsi:type="dcterms:W3CDTF">2026-06-06T04:22:36Z</dcterms:created>
  <dcterms:modified xsi:type="dcterms:W3CDTF">2026-06-06T04:26:08Z</dcterms:modified>
  <dc:language>en-US</dc:language>
</cp:coreProperties>
</file>