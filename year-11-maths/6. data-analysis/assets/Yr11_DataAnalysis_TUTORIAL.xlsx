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w/Downloads/files/"/>
    </mc:Choice>
  </mc:AlternateContent>
  <xr:revisionPtr revIDLastSave="0" documentId="13_ncr:1_{D7863882-8119-F249-9E4F-66A4C95D7158}" xr6:coauthVersionLast="47" xr6:coauthVersionMax="47" xr10:uidLastSave="{00000000-0000-0000-0000-000000000000}"/>
  <bookViews>
    <workbookView xWindow="0" yWindow="0" windowWidth="51200" windowHeight="28800" tabRatio="500" activeTab="7" xr2:uid="{00000000-000D-0000-FFFF-FFFF00000000}"/>
  </bookViews>
  <sheets>
    <sheet name="📋 Contents" sheetId="1" r:id="rId1"/>
    <sheet name="📊 Data Classification" sheetId="2" r:id="rId2"/>
    <sheet name="🔢 Frequency Tables" sheetId="3" r:id="rId3"/>
    <sheet name="📈 Measures of Centre" sheetId="4" r:id="rId4"/>
    <sheet name="📉 Spread &amp; Std Dev" sheetId="5" r:id="rId5"/>
    <sheet name="📦 Quartiles &amp; IQR" sheetId="6" r:id="rId6"/>
    <sheet name="🌡 Weather Dataset" sheetId="7" r:id="rId7"/>
    <sheet name="🏪 Sales Datase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9" i="8" l="1"/>
  <c r="C39" i="8"/>
  <c r="D38" i="8"/>
  <c r="C38" i="8"/>
  <c r="D37" i="8"/>
  <c r="E37" i="8" s="1"/>
  <c r="G37" i="8" s="1"/>
  <c r="C37" i="8"/>
  <c r="D36" i="8"/>
  <c r="E36" i="8" s="1"/>
  <c r="G36" i="8" s="1"/>
  <c r="C36" i="8"/>
  <c r="F36" i="8" s="1"/>
  <c r="H36" i="8" s="1"/>
  <c r="E35" i="8"/>
  <c r="G35" i="8" s="1"/>
  <c r="D35" i="8"/>
  <c r="C35" i="8"/>
  <c r="G31" i="8"/>
  <c r="F31" i="8"/>
  <c r="E31" i="8"/>
  <c r="D31" i="8"/>
  <c r="C31" i="8"/>
  <c r="G30" i="8"/>
  <c r="F30" i="8"/>
  <c r="E30" i="8"/>
  <c r="D30" i="8"/>
  <c r="C30" i="8"/>
  <c r="G29" i="8"/>
  <c r="F29" i="8"/>
  <c r="E29" i="8"/>
  <c r="D29" i="8"/>
  <c r="C29" i="8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G50" i="7"/>
  <c r="F50" i="7"/>
  <c r="E50" i="7"/>
  <c r="D50" i="7"/>
  <c r="C50" i="7"/>
  <c r="G49" i="7"/>
  <c r="F49" i="7"/>
  <c r="E49" i="7"/>
  <c r="D49" i="7"/>
  <c r="C49" i="7"/>
  <c r="G48" i="7"/>
  <c r="F48" i="7"/>
  <c r="E48" i="7"/>
  <c r="D48" i="7"/>
  <c r="C48" i="7"/>
  <c r="G47" i="7"/>
  <c r="F47" i="7"/>
  <c r="E47" i="7"/>
  <c r="D47" i="7"/>
  <c r="C47" i="7"/>
  <c r="G46" i="7"/>
  <c r="F46" i="7"/>
  <c r="E46" i="7"/>
  <c r="D46" i="7"/>
  <c r="C46" i="7"/>
  <c r="G45" i="7"/>
  <c r="F45" i="7"/>
  <c r="E45" i="7"/>
  <c r="D45" i="7"/>
  <c r="C45" i="7"/>
  <c r="G44" i="7"/>
  <c r="F44" i="7"/>
  <c r="E44" i="7"/>
  <c r="D44" i="7"/>
  <c r="C44" i="7"/>
  <c r="G43" i="7"/>
  <c r="F43" i="7"/>
  <c r="E43" i="7"/>
  <c r="D43" i="7"/>
  <c r="C43" i="7"/>
  <c r="G42" i="7"/>
  <c r="F42" i="7"/>
  <c r="E42" i="7"/>
  <c r="D42" i="7"/>
  <c r="C42" i="7"/>
  <c r="G41" i="7"/>
  <c r="F41" i="7"/>
  <c r="E41" i="7"/>
  <c r="D41" i="7"/>
  <c r="C41" i="7"/>
  <c r="G40" i="7"/>
  <c r="F40" i="7"/>
  <c r="E40" i="7"/>
  <c r="D40" i="7"/>
  <c r="C40" i="7"/>
  <c r="C49" i="6"/>
  <c r="C48" i="6"/>
  <c r="C47" i="6"/>
  <c r="D40" i="6"/>
  <c r="D42" i="6" s="1"/>
  <c r="D39" i="6"/>
  <c r="D41" i="6" s="1"/>
  <c r="D38" i="6"/>
  <c r="D34" i="6"/>
  <c r="D33" i="6"/>
  <c r="D32" i="6"/>
  <c r="D31" i="6"/>
  <c r="D30" i="6"/>
  <c r="C53" i="5"/>
  <c r="C52" i="5"/>
  <c r="D53" i="5" s="1"/>
  <c r="C51" i="5"/>
  <c r="D51" i="5" s="1"/>
  <c r="D32" i="5"/>
  <c r="D29" i="5"/>
  <c r="D28" i="5"/>
  <c r="D27" i="5"/>
  <c r="D26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E22" i="5" s="1"/>
  <c r="D7" i="5"/>
  <c r="D21" i="5" s="1"/>
  <c r="E50" i="4"/>
  <c r="C50" i="4"/>
  <c r="D27" i="4"/>
  <c r="D26" i="4"/>
  <c r="D25" i="4"/>
  <c r="E23" i="3"/>
  <c r="F20" i="3" s="1"/>
  <c r="F22" i="3"/>
  <c r="F21" i="3"/>
  <c r="F19" i="3"/>
  <c r="D30" i="5" l="1"/>
  <c r="D31" i="5"/>
  <c r="F37" i="8"/>
  <c r="H37" i="8" s="1"/>
  <c r="D52" i="5"/>
  <c r="F16" i="3"/>
  <c r="F17" i="3"/>
  <c r="F35" i="8"/>
  <c r="H35" i="8" s="1"/>
  <c r="F18" i="3"/>
  <c r="E38" i="8"/>
  <c r="F38" i="8" s="1"/>
  <c r="E39" i="8"/>
  <c r="F39" i="8" s="1"/>
  <c r="G39" i="8" l="1"/>
  <c r="H39" i="8" s="1"/>
  <c r="F23" i="3"/>
  <c r="G38" i="8"/>
  <c r="H38" i="8" s="1"/>
</calcChain>
</file>

<file path=xl/sharedStrings.xml><?xml version="1.0" encoding="utf-8"?>
<sst xmlns="http://schemas.openxmlformats.org/spreadsheetml/2006/main" count="431" uniqueCount="352">
  <si>
    <t>Year 11 Standard Maths – Data Analysis</t>
  </si>
  <si>
    <t>Statistical Investigation Tutorial Workbook</t>
  </si>
  <si>
    <t>📌 How to use this workbook:</t>
  </si>
  <si>
    <t>• Yellow cells = INPUT data or values you enter</t>
  </si>
  <si>
    <t>• Black cells = formulas that calculate automatically (do not edit these)</t>
  </si>
  <si>
    <t>• Work through each sheet in order — concepts build on each other</t>
  </si>
  <si>
    <t>• Each sheet matches specific dot-points from the NSW Maths Standard syllabus</t>
  </si>
  <si>
    <t>Sheet</t>
  </si>
  <si>
    <t>Topics covered</t>
  </si>
  <si>
    <t>Level</t>
  </si>
  <si>
    <t>📊 Data Classification</t>
  </si>
  <si>
    <t>Numerical vs categorical, discrete vs continuous, nominal vs ordinal</t>
  </si>
  <si>
    <t>⭐</t>
  </si>
  <si>
    <t>🔢 Frequency Tables</t>
  </si>
  <si>
    <t>Grouped &amp; ungrouped frequency tables, histograms, cumulative freq</t>
  </si>
  <si>
    <t>📈 Measures of Centre</t>
  </si>
  <si>
    <t>Mean, median, mode — formulas, comparison, best use cases</t>
  </si>
  <si>
    <t>📉 Spread &amp; Std Dev</t>
  </si>
  <si>
    <t>Range, population standard deviation, variance</t>
  </si>
  <si>
    <t>⭐⭐</t>
  </si>
  <si>
    <t>📦 Quartiles &amp; IQR</t>
  </si>
  <si>
    <t>Five-number summary, IQR, outlier detection (1.5×IQR rule)</t>
  </si>
  <si>
    <t>🌡 Weather Dataset</t>
  </si>
  <si>
    <t>Real-style dataset: temp data, graphs, shape, analysis</t>
  </si>
  <si>
    <t>🏪 Sales Dataset</t>
  </si>
  <si>
    <t>Business sales data: centre, spread, box plot, outliers</t>
  </si>
  <si>
    <t>⭐⭐⭐</t>
  </si>
  <si>
    <t>Data Classification – Tutorial</t>
  </si>
  <si>
    <t>📘 Correctly classifying data is the first step in any statistical investigation.</t>
  </si>
  <si>
    <t>Types of Variables</t>
  </si>
  <si>
    <t>Type</t>
  </si>
  <si>
    <t>Definition</t>
  </si>
  <si>
    <t>Examples</t>
  </si>
  <si>
    <t>Statistical note</t>
  </si>
  <si>
    <t>NUMERICAL</t>
  </si>
  <si>
    <t>Data that is a number you can measure or count</t>
  </si>
  <si>
    <t>Height, temperature, number of goals</t>
  </si>
  <si>
    <t>Can calculate mean and median</t>
  </si>
  <si>
    <t>CATEGORICAL</t>
  </si>
  <si>
    <t>Data that belongs to a group or category</t>
  </si>
  <si>
    <t>Colour, gender, country</t>
  </si>
  <si>
    <t>Use mode; cannot average</t>
  </si>
  <si>
    <t>Numerical Variables: Discrete vs Continuous</t>
  </si>
  <si>
    <t>Sub-type</t>
  </si>
  <si>
    <t>Key test</t>
  </si>
  <si>
    <t>DISCRETE</t>
  </si>
  <si>
    <t>Countable whole numbers only</t>
  </si>
  <si>
    <t>Number of students, goals scored, pets owned</t>
  </si>
  <si>
    <t>Can you count it? Is there a gap between values?</t>
  </si>
  <si>
    <t>CONTINUOUS</t>
  </si>
  <si>
    <t>Any value in a range (measured)</t>
  </si>
  <si>
    <t>Height, weight, time, temperature</t>
  </si>
  <si>
    <t>Can you measure it to decimal places?</t>
  </si>
  <si>
    <t>Categorical Variables: Nominal vs Ordinal</t>
  </si>
  <si>
    <t>NOMINAL</t>
  </si>
  <si>
    <t>Categories with NO natural order</t>
  </si>
  <si>
    <t>Eye colour, pet type, suburb name</t>
  </si>
  <si>
    <t>Can you rank the categories meaningfully?  No = Nominal</t>
  </si>
  <si>
    <t>ORDINAL</t>
  </si>
  <si>
    <t>Categories WITH a natural order</t>
  </si>
  <si>
    <t>Survey ratings (1–5), school grades, size (S/M/L)</t>
  </si>
  <si>
    <t>Can you rank them?  Yes = Ordinal</t>
  </si>
  <si>
    <t>Practice Classification Table – Classify each variable</t>
  </si>
  <si>
    <t>Read each variable. In columns D–F enter the classification. (Teacher: answers in row notes.)</t>
  </si>
  <si>
    <t>Variable</t>
  </si>
  <si>
    <t>Example values</t>
  </si>
  <si>
    <t>Numerical / Categorical</t>
  </si>
  <si>
    <t>Discrete/Cont/Nom/Ord</t>
  </si>
  <si>
    <t>Favourite sport</t>
  </si>
  <si>
    <t>Football, Tennis, Swimming</t>
  </si>
  <si>
    <t>Nominal</t>
  </si>
  <si>
    <t>Number of siblings</t>
  </si>
  <si>
    <t>0, 1, 2, 3</t>
  </si>
  <si>
    <t>Discrete</t>
  </si>
  <si>
    <t>Daily max temperature (°C)</t>
  </si>
  <si>
    <t>28.4, 31.1, 22.7</t>
  </si>
  <si>
    <t>Continuous</t>
  </si>
  <si>
    <t>School grade</t>
  </si>
  <si>
    <t>A, B, C, D</t>
  </si>
  <si>
    <t>Ordinal</t>
  </si>
  <si>
    <t>Shoe size</t>
  </si>
  <si>
    <t>6, 7, 8, 9, 10</t>
  </si>
  <si>
    <t>Eye colour</t>
  </si>
  <si>
    <t>Blue, Brown, Green</t>
  </si>
  <si>
    <t>Survey satisfaction (1–5)</t>
  </si>
  <si>
    <t>1, 2, 3, 4, 5</t>
  </si>
  <si>
    <t>Body mass (kg)</t>
  </si>
  <si>
    <t>55.2, 72.8, 61.0</t>
  </si>
  <si>
    <t>Postcode</t>
  </si>
  <si>
    <t>2000, 2010, 3000</t>
  </si>
  <si>
    <t>Hours of sleep</t>
  </si>
  <si>
    <t>6.5, 7.0, 8.5</t>
  </si>
  <si>
    <t>💡 Note: Postcodes LOOK like numbers but they are categorical (nominal) — you cannot average a postcode!</t>
  </si>
  <si>
    <t>Frequency Tables &amp; Histograms – Tutorial</t>
  </si>
  <si>
    <t>📘 A frequency table counts how often each value (or group) occurs. Histograms display numerical data in intervals.</t>
  </si>
  <si>
    <t>Dataset: Student Test Scores (out of 50) – n=30</t>
  </si>
  <si>
    <t>These are the raw scores. We will create both an ungrouped and grouped frequency table.</t>
  </si>
  <si>
    <t>Score 1</t>
  </si>
  <si>
    <t>Score 2</t>
  </si>
  <si>
    <t>Score 3</t>
  </si>
  <si>
    <t>Score 4</t>
  </si>
  <si>
    <t>Score 5</t>
  </si>
  <si>
    <t>Score 6</t>
  </si>
  <si>
    <t>Grouped Frequency Distribution Table (Class width = 5)</t>
  </si>
  <si>
    <t>We group data into class intervals when there are too many unique values for an ungrouped table.</t>
  </si>
  <si>
    <t>Class Interval</t>
  </si>
  <si>
    <t>Class Centre</t>
  </si>
  <si>
    <t>Tally (count manually)</t>
  </si>
  <si>
    <t>Frequency (f)</t>
  </si>
  <si>
    <t>Relative Freq (%)</t>
  </si>
  <si>
    <t>Cumulative Freq</t>
  </si>
  <si>
    <t>15 – 19</t>
  </si>
  <si>
    <t>20 – 24</t>
  </si>
  <si>
    <t>25 – 29</t>
  </si>
  <si>
    <t>30 – 34</t>
  </si>
  <si>
    <t>35 – 39</t>
  </si>
  <si>
    <t>40 – 44</t>
  </si>
  <si>
    <t>45 – 49</t>
  </si>
  <si>
    <t>TOTAL</t>
  </si>
  <si>
    <t>Key Concepts</t>
  </si>
  <si>
    <t>Term</t>
  </si>
  <si>
    <t>Use / note</t>
  </si>
  <si>
    <t>Class interval</t>
  </si>
  <si>
    <t>A range of values grouped together, e.g. 15–19</t>
  </si>
  <si>
    <t>Choose equal widths; typically 5–10 groups</t>
  </si>
  <si>
    <t>Class centre</t>
  </si>
  <si>
    <t>Midpoint of the interval: (lower + upper) ÷ 2</t>
  </si>
  <si>
    <t>Used to estimate mean from grouped data</t>
  </si>
  <si>
    <t>Count of data values in each class</t>
  </si>
  <si>
    <t>All frequencies must sum to n (total count)</t>
  </si>
  <si>
    <t>Relative frequency</t>
  </si>
  <si>
    <t>f ÷ n × 100 (%)</t>
  </si>
  <si>
    <t>Allows comparison between datasets of different sizes</t>
  </si>
  <si>
    <t>Cumulative frequency</t>
  </si>
  <si>
    <t>Running total of frequencies</t>
  </si>
  <si>
    <t>Used to find median class and draw ogive</t>
  </si>
  <si>
    <t>Histogram</t>
  </si>
  <si>
    <t>Bar chart for grouped numerical data — bars touch</t>
  </si>
  <si>
    <t>Width = class interval; height = frequency</t>
  </si>
  <si>
    <t>Frequency polygon</t>
  </si>
  <si>
    <t>Line connecting midpoints of histogram bars</t>
  </si>
  <si>
    <t>Useful for comparing two datasets on same axes</t>
  </si>
  <si>
    <t>💡 To create a histogram in Excel: select Class Centre and Frequency columns → Insert → Column/Bar Chart → adjust bar gap to 0%.</t>
  </si>
  <si>
    <t>Measures of Centre – Mean, Median, Mode</t>
  </si>
  <si>
    <t>📘 Measures of centre describe the 'typical' or 'central' value of a dataset.</t>
  </si>
  <si>
    <t>Dataset A: Weekly screen time (hours) for 15 students</t>
  </si>
  <si>
    <t>Enter these values in column B, rows below:</t>
  </si>
  <si>
    <t>n</t>
  </si>
  <si>
    <t>Score</t>
  </si>
  <si>
    <t>Notes</t>
  </si>
  <si>
    <t>Calculating Measures of Centre</t>
  </si>
  <si>
    <t>Measure</t>
  </si>
  <si>
    <t>Formula</t>
  </si>
  <si>
    <t>Result</t>
  </si>
  <si>
    <t>Excel function</t>
  </si>
  <si>
    <t>When to use</t>
  </si>
  <si>
    <t>Mean</t>
  </si>
  <si>
    <t>Sum ÷ Count</t>
  </si>
  <si>
    <t>AVERAGE(range)</t>
  </si>
  <si>
    <t>Symmetric data with no outliers</t>
  </si>
  <si>
    <t>Median</t>
  </si>
  <si>
    <t>Middle value when sorted</t>
  </si>
  <si>
    <t>MEDIAN(range)</t>
  </si>
  <si>
    <t>Skewed data or outliers present</t>
  </si>
  <si>
    <t>Mode</t>
  </si>
  <si>
    <t>Most frequent value</t>
  </si>
  <si>
    <t>MODE(range)</t>
  </si>
  <si>
    <t>Categorical data or most common value needed</t>
  </si>
  <si>
    <t>📌 Notice: The value 22 is much higher than others. Try removing it (change to 8) and see how mean changes vs median.</t>
  </si>
  <si>
    <t>Shape of Distribution – Skewness</t>
  </si>
  <si>
    <t>Shape</t>
  </si>
  <si>
    <t>Description</t>
  </si>
  <si>
    <t>Mean vs Median</t>
  </si>
  <si>
    <t>Example</t>
  </si>
  <si>
    <t>Symmetric (Normal)</t>
  </si>
  <si>
    <t>Data balanced on both sides of centre</t>
  </si>
  <si>
    <t>Mean ≈ Median ≈ Mode</t>
  </si>
  <si>
    <t>Heights of adults, exam scores</t>
  </si>
  <si>
    <t>Positively Skewed</t>
  </si>
  <si>
    <t>Long tail on the RIGHT; most data on left</t>
  </si>
  <si>
    <t>Mean &gt; Median</t>
  </si>
  <si>
    <t>Income, house prices, outlier high values</t>
  </si>
  <si>
    <t>Negatively Skewed</t>
  </si>
  <si>
    <t>Long tail on the LEFT; most data on right</t>
  </si>
  <si>
    <t>Mean &lt; Median</t>
  </si>
  <si>
    <t>Age at retirement, easy test scores</t>
  </si>
  <si>
    <t>Unimodal, Bimodal, Multimodal</t>
  </si>
  <si>
    <t>Meaning</t>
  </si>
  <si>
    <t>Uniform</t>
  </si>
  <si>
    <t>All values occur with equal frequency</t>
  </si>
  <si>
    <t>Rolling a fair die 600 times</t>
  </si>
  <si>
    <t>Unimodal</t>
  </si>
  <si>
    <t>One clear peak / mode</t>
  </si>
  <si>
    <t>Most exam score distributions</t>
  </si>
  <si>
    <t>Bimodal</t>
  </si>
  <si>
    <t>Two peaks / two modes</t>
  </si>
  <si>
    <t>Heights of a mixed adult+child group</t>
  </si>
  <si>
    <t>Multimodal</t>
  </si>
  <si>
    <t>Three or more peaks</t>
  </si>
  <si>
    <t>Multiple distinct sub-groups in data</t>
  </si>
  <si>
    <t>Dataset Comparison – Which measure is best?</t>
  </si>
  <si>
    <t>Dataset B = salaries of 8 workers (including one manager). Compare mean and median.</t>
  </si>
  <si>
    <t>Dataset B: Salaries ($)</t>
  </si>
  <si>
    <t>Mean salary</t>
  </si>
  <si>
    <t>Median salary</t>
  </si>
  <si>
    <t>💡 The $180,000 manager salary pulls the MEAN up significantly. The MEDIAN is a better 'typical' salary here. This is positive skew.</t>
  </si>
  <si>
    <t>Measures of Spread – Range &amp; Standard Deviation</t>
  </si>
  <si>
    <t>📘 Measures of spread describe how much variation (spread) exists in a dataset.</t>
  </si>
  <si>
    <t>Dataset: Daily maximum temperature (°C) – 14 days</t>
  </si>
  <si>
    <t>These represent 14 consecutive days of temperature readings.</t>
  </si>
  <si>
    <t>Day</t>
  </si>
  <si>
    <t>Temp (°C)</t>
  </si>
  <si>
    <t>Deviation from mean</t>
  </si>
  <si>
    <t>Deviation²</t>
  </si>
  <si>
    <t>SUM of deviations</t>
  </si>
  <si>
    <t>Should be ≈ 0</t>
  </si>
  <si>
    <t>SUM of squared deviations</t>
  </si>
  <si>
    <t>Calculated Measures of Spread</t>
  </si>
  <si>
    <t>Value</t>
  </si>
  <si>
    <t>Interpretation</t>
  </si>
  <si>
    <t>Minimum</t>
  </si>
  <si>
    <t>smallest value</t>
  </si>
  <si>
    <t>MIN(range)</t>
  </si>
  <si>
    <t>Lowest observation</t>
  </si>
  <si>
    <t>Maximum</t>
  </si>
  <si>
    <t>largest value</t>
  </si>
  <si>
    <t>MAX(range)</t>
  </si>
  <si>
    <t>Highest observation</t>
  </si>
  <si>
    <t>Range</t>
  </si>
  <si>
    <t>Max − Min</t>
  </si>
  <si>
    <t>MAX()-MIN()</t>
  </si>
  <si>
    <t>Total spread; sensitive to outliers</t>
  </si>
  <si>
    <t>Σx ÷ n</t>
  </si>
  <si>
    <t>Centre of data</t>
  </si>
  <si>
    <t>Variance (σ²)</t>
  </si>
  <si>
    <t>Σ(x−x̄)² ÷ n</t>
  </si>
  <si>
    <t>VARP(range)</t>
  </si>
  <si>
    <t>Average squared deviation</t>
  </si>
  <si>
    <t>Pop. Std Dev (σ)</t>
  </si>
  <si>
    <t>√Variance</t>
  </si>
  <si>
    <t>STDEVP(range)</t>
  </si>
  <si>
    <t>Typical distance from mean</t>
  </si>
  <si>
    <t>Excel check σ</t>
  </si>
  <si>
    <t>Should match row above</t>
  </si>
  <si>
    <t>Interpreting Standard Deviation</t>
  </si>
  <si>
    <t>• A SMALL σ means data is clustered close to the mean (low variability).</t>
  </si>
  <si>
    <t>• A LARGE σ means data is spread far from the mean (high variability).</t>
  </si>
  <si>
    <t>• σ = 0 means all values are identical.</t>
  </si>
  <si>
    <t>• About 68% of data in a normal distribution falls within 1 standard deviation of the mean.</t>
  </si>
  <si>
    <t>• Compare σ between datasets only when the means are similar.</t>
  </si>
  <si>
    <t>Comparing Two Datasets Using Spread</t>
  </si>
  <si>
    <t>Class A and Class B both scored a mean of 65% on the same test. But which class was more consistent?</t>
  </si>
  <si>
    <t>Class A scores (n=10)</t>
  </si>
  <si>
    <t>Class B scores (n=10)</t>
  </si>
  <si>
    <t>Class B scores</t>
  </si>
  <si>
    <t>Class B</t>
  </si>
  <si>
    <t>Which is more consistent?</t>
  </si>
  <si>
    <t>💡 Both classes have the same mean, but Class A has a smaller std dev — Class A was more consistent.</t>
  </si>
  <si>
    <t>Five-Number Summary, IQR &amp; Outliers</t>
  </si>
  <si>
    <t>📘 Quartiles split sorted data into four equal parts. The IQR measures the middle 50% of data.</t>
  </si>
  <si>
    <t>Dataset: Number of hours of exercise per week (20 students)</t>
  </si>
  <si>
    <t>Notice: 0 and 18 are extreme values. We will use the IQR rule to test if they are outliers.</t>
  </si>
  <si>
    <t>Student</t>
  </si>
  <si>
    <t>Hours</t>
  </si>
  <si>
    <t>Sorted order</t>
  </si>
  <si>
    <t>Sorted value</t>
  </si>
  <si>
    <t>Five-Number Summary</t>
  </si>
  <si>
    <t>Statistic</t>
  </si>
  <si>
    <t>Symbol</t>
  </si>
  <si>
    <t>Formula / Value</t>
  </si>
  <si>
    <t>Min</t>
  </si>
  <si>
    <t>Smallest value</t>
  </si>
  <si>
    <t>Lower Quartile</t>
  </si>
  <si>
    <t>Q1</t>
  </si>
  <si>
    <t>QUARTILE(range,1)</t>
  </si>
  <si>
    <t>25th percentile — lower 25% below this</t>
  </si>
  <si>
    <t>Q2 / Med</t>
  </si>
  <si>
    <t>50th percentile — middle value</t>
  </si>
  <si>
    <t>Upper Quartile</t>
  </si>
  <si>
    <t>Q3</t>
  </si>
  <si>
    <t>QUARTILE(range,3)</t>
  </si>
  <si>
    <t>75th percentile — upper 25% above this</t>
  </si>
  <si>
    <t>Max</t>
  </si>
  <si>
    <t>Largest value</t>
  </si>
  <si>
    <t>Interquartile Range (IQR) &amp; Outlier Detection</t>
  </si>
  <si>
    <t>Calculation</t>
  </si>
  <si>
    <t>IQR = Q3 − Q1</t>
  </si>
  <si>
    <t>Lower fence = Q1 − 1.5×IQR</t>
  </si>
  <si>
    <t>Upper fence = Q3 + 1.5×IQR</t>
  </si>
  <si>
    <t>Values below lower fence → OUTLIER</t>
  </si>
  <si>
    <t>Values above upper fence → OUTLIER</t>
  </si>
  <si>
    <t>Effect of Outliers on Measures</t>
  </si>
  <si>
    <t>Compare statistics WITH and WITHOUT the outlier of 18 hours. Change C27 to see impact.</t>
  </si>
  <si>
    <t>With outlier</t>
  </si>
  <si>
    <t>Without 18 (use 5)</t>
  </si>
  <si>
    <t>Difference</t>
  </si>
  <si>
    <t>Impact</t>
  </si>
  <si>
    <t>Pulled higher by outlier</t>
  </si>
  <si>
    <t>Barely affected</t>
  </si>
  <si>
    <t>Std Dev σ</t>
  </si>
  <si>
    <t>Much larger with outlier</t>
  </si>
  <si>
    <t>💡 The MEDIAN is resistant to outliers. The MEAN is sensitive. Always check for outliers before reporting the mean.</t>
  </si>
  <si>
    <t>Weather Data Analysis – Real-World Application</t>
  </si>
  <si>
    <t>📘 A month of daily weather data. Use this sheet to practise all analysis techniques.</t>
  </si>
  <si>
    <t>Daily Weather Data – Sydney, July (simulated)</t>
  </si>
  <si>
    <t>Max Temp °C</t>
  </si>
  <si>
    <t>Min Temp °C</t>
  </si>
  <si>
    <t>Rainfall mm</t>
  </si>
  <si>
    <t>UV Index</t>
  </si>
  <si>
    <t>Wind km/h</t>
  </si>
  <si>
    <t>Summary Statistics – Complete Using Formulas</t>
  </si>
  <si>
    <t>Max Temp</t>
  </si>
  <si>
    <t>Min Temp</t>
  </si>
  <si>
    <t>Rainfall</t>
  </si>
  <si>
    <t>Count</t>
  </si>
  <si>
    <t>IQR</t>
  </si>
  <si>
    <t>Analysis Questions (answer in the yellow cells)</t>
  </si>
  <si>
    <t>1. What is the shape of the max temperature distribution? (symmetric / positively skewed / negatively skewed)</t>
  </si>
  <si>
    <t>2. Is mean or median a better measure of centre for rainfall? Why?</t>
  </si>
  <si>
    <t>3. Use the IQR rule: are there any outliers in the Wind speed data?</t>
  </si>
  <si>
    <t>4. Which variable has the greatest relative spread? (Hint: compare std dev to mean)</t>
  </si>
  <si>
    <t>5. Describe any clusters or gaps you notice in the rainfall data.</t>
  </si>
  <si>
    <t>Business Sales Data – Full Analysis</t>
  </si>
  <si>
    <t>📘 A business tracks monthly unit sales for 5 products over 12 months. Analyse each product.</t>
  </si>
  <si>
    <t>Monthly Unit Sales Data</t>
  </si>
  <si>
    <t>Month</t>
  </si>
  <si>
    <t>Product A</t>
  </si>
  <si>
    <t>Product B</t>
  </si>
  <si>
    <t>Product C</t>
  </si>
  <si>
    <t>Product D</t>
  </si>
  <si>
    <t>Product 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</si>
  <si>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</si>
  <si>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</si>
  <si>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</si>
  <si>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</si>
  <si>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</si>
  <si>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</si>
  <si>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</si>
  <si>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</si>
  <si>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</si>
  <si>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</si>
  <si>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</si>
  <si>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</si>
  <si>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Statistical Summary by Product</t>
  </si>
  <si>
    <t>Best/Worst</t>
  </si>
  <si>
    <t>CV%</t>
  </si>
  <si>
    <t>Outlier Check for Each Product (1.5×IQR rule)</t>
  </si>
  <si>
    <t>Product</t>
  </si>
  <si>
    <t>Lower Fence</t>
  </si>
  <si>
    <t>Upper Fence</t>
  </si>
  <si>
    <t>Outliers?</t>
  </si>
  <si>
    <t>💡 Coefficient of Variation (CV%) = (σ ÷ mean) × 100.  Allows comparison of spread when means differ.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</si>
</sst>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"/>
    <numFmt numFmtId="166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sz val="11"/>
      <color rgb="FFFFFFFF"/>
      <name val="Arial"/>
      <family val="2"/>
    </font>
    <font>
      <sz val="11"/>
      <color rgb="FF0000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4CCCC"/>
        <bgColor rgb="FFFCE4D6"/>
      </patternFill>
    </fill>
    <fill>
      <patternFill patternType="solid">
        <fgColor rgb="FFFCE4D6"/>
        <bgColor rgb="FFFFF2CC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8" borderId="10" xfId="0" applyFill="1" applyBorder="1"/>
    <xf numFmtId="0" fontId="0" fillId="0" borderId="0" xfId="0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/>
    <xf numFmtId="0" fontId="0" fillId="5" borderId="5" xfId="0" applyFill="1" applyBorder="1" applyAlignment="1">
      <alignment horizontal="left" vertical="center" wrapText="1"/>
    </xf>
    <xf numFmtId="0" fontId="0" fillId="5" borderId="6" xfId="0" applyFill="1" applyBorder="1" applyAlignment="1">
      <alignment horizontal="center" vertical="center" wrapText="1"/>
    </xf>
    <xf numFmtId="0" fontId="5" fillId="6" borderId="4" xfId="0" applyFont="1" applyFill="1" applyBorder="1"/>
    <xf numFmtId="0" fontId="0" fillId="6" borderId="5" xfId="0" applyFill="1" applyBorder="1" applyAlignment="1">
      <alignment horizontal="left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0" fillId="8" borderId="5" xfId="0" applyFill="1" applyBorder="1"/>
    <xf numFmtId="0" fontId="8" fillId="6" borderId="5" xfId="0" applyFont="1" applyFill="1" applyBorder="1"/>
    <xf numFmtId="1" fontId="9" fillId="0" borderId="5" xfId="0" applyNumberFormat="1" applyFont="1" applyBorder="1" applyAlignment="1">
      <alignment horizontal="center" vertical="center" wrapText="1"/>
    </xf>
    <xf numFmtId="0" fontId="4" fillId="6" borderId="5" xfId="0" applyFont="1" applyFill="1" applyBorder="1" applyAlignment="1">
      <alignment horizontal="left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1" fontId="3" fillId="7" borderId="5" xfId="0" applyNumberFormat="1" applyFont="1" applyFill="1" applyBorder="1" applyAlignment="1">
      <alignment horizontal="center" vertical="center" wrapText="1"/>
    </xf>
    <xf numFmtId="164" fontId="4" fillId="7" borderId="5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1" fontId="9" fillId="8" borderId="5" xfId="0" applyNumberFormat="1" applyFont="1" applyFill="1" applyBorder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165" fontId="9" fillId="8" borderId="5" xfId="0" applyNumberFormat="1" applyFont="1" applyFill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164" fontId="9" fillId="8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1" fontId="9" fillId="4" borderId="5" xfId="0" applyNumberFormat="1" applyFont="1" applyFill="1" applyBorder="1" applyAlignment="1">
      <alignment horizontal="center" vertical="center" wrapText="1"/>
    </xf>
    <xf numFmtId="1" fontId="9" fillId="9" borderId="5" xfId="0" applyNumberFormat="1" applyFont="1" applyFill="1" applyBorder="1" applyAlignment="1">
      <alignment horizontal="center" vertical="center" wrapText="1"/>
    </xf>
    <xf numFmtId="164" fontId="3" fillId="7" borderId="5" xfId="0" applyNumberFormat="1" applyFont="1" applyFill="1" applyBorder="1" applyAlignment="1">
      <alignment horizontal="center" vertical="center" wrapText="1"/>
    </xf>
    <xf numFmtId="164" fontId="3" fillId="10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2" fontId="9" fillId="4" borderId="5" xfId="0" applyNumberFormat="1" applyFont="1" applyFill="1" applyBorder="1" applyAlignment="1">
      <alignment horizontal="center" vertical="center" wrapText="1"/>
    </xf>
    <xf numFmtId="164" fontId="9" fillId="4" borderId="5" xfId="0" applyNumberFormat="1" applyFont="1" applyFill="1" applyBorder="1" applyAlignment="1">
      <alignment horizontal="center" vertical="center" wrapText="1"/>
    </xf>
    <xf numFmtId="164" fontId="9" fillId="7" borderId="5" xfId="0" applyNumberFormat="1" applyFont="1" applyFill="1" applyBorder="1" applyAlignment="1">
      <alignment horizontal="center" vertical="center" wrapText="1"/>
    </xf>
    <xf numFmtId="166" fontId="4" fillId="0" borderId="5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opLeftCell="B1" zoomScale="156" zoomScaleNormal="100" workbookViewId="0">
      <selection activeCell="B5" sqref="B5:D5"/>
    </sheetView>
  </sheetViews>
  <sheetFormatPr baseColWidth="10" defaultColWidth="8.6640625" defaultRowHeight="15" x14ac:dyDescent="0.2"/>
  <cols>
    <col min="1" max="1" width="3" customWidth="1"/>
    <col min="2" max="2" width="32" customWidth="1"/>
    <col min="3" max="3" width="48" customWidth="1"/>
    <col min="4" max="4" width="12" customWidth="1"/>
    <col min="5" max="5" width="3" customWidth="1"/>
  </cols>
  <sheetData>
    <row r="1" spans="1:4" ht="30" customHeight="1" x14ac:dyDescent="0.2">
      <c r="A1" s="10" t="s">
        <v>0</v>
      </c>
      <c r="B1" s="10"/>
      <c r="C1" s="10"/>
      <c r="D1" s="10"/>
    </row>
    <row r="2" spans="1:4" ht="30" customHeight="1" x14ac:dyDescent="0.2">
      <c r="A2" s="9" t="s">
        <v>1</v>
      </c>
      <c r="B2" s="9"/>
      <c r="C2" s="9"/>
      <c r="D2" s="9"/>
    </row>
    <row r="4" spans="1:4" ht="15" customHeight="1" x14ac:dyDescent="0.2">
      <c r="B4" s="11" t="s">
        <v>2</v>
      </c>
    </row>
    <row r="5" spans="1:4" ht="15" customHeight="1" x14ac:dyDescent="0.2">
      <c r="B5" s="8" t="s">
        <v>3</v>
      </c>
      <c r="C5" s="8"/>
      <c r="D5" s="8"/>
    </row>
    <row r="6" spans="1:4" ht="15" customHeight="1" x14ac:dyDescent="0.2">
      <c r="B6" s="8" t="s">
        <v>4</v>
      </c>
      <c r="C6" s="8"/>
      <c r="D6" s="8"/>
    </row>
    <row r="7" spans="1:4" ht="15" customHeight="1" x14ac:dyDescent="0.2">
      <c r="B7" s="8" t="s">
        <v>5</v>
      </c>
      <c r="C7" s="8"/>
      <c r="D7" s="8"/>
    </row>
    <row r="8" spans="1:4" ht="15" customHeight="1" x14ac:dyDescent="0.2">
      <c r="B8" s="8" t="s">
        <v>6</v>
      </c>
      <c r="C8" s="8"/>
      <c r="D8" s="8"/>
    </row>
    <row r="10" spans="1:4" ht="15" customHeight="1" x14ac:dyDescent="0.2">
      <c r="B10" s="12" t="s">
        <v>7</v>
      </c>
      <c r="C10" s="13" t="s">
        <v>8</v>
      </c>
      <c r="D10" s="14" t="s">
        <v>9</v>
      </c>
    </row>
    <row r="11" spans="1:4" ht="27.75" customHeight="1" x14ac:dyDescent="0.2">
      <c r="B11" s="15" t="s">
        <v>10</v>
      </c>
      <c r="C11" s="16" t="s">
        <v>11</v>
      </c>
      <c r="D11" s="17" t="s">
        <v>12</v>
      </c>
    </row>
    <row r="12" spans="1:4" ht="27.75" customHeight="1" x14ac:dyDescent="0.2">
      <c r="B12" s="18" t="s">
        <v>13</v>
      </c>
      <c r="C12" s="19" t="s">
        <v>14</v>
      </c>
      <c r="D12" s="20" t="s">
        <v>12</v>
      </c>
    </row>
    <row r="13" spans="1:4" ht="27.75" customHeight="1" x14ac:dyDescent="0.2">
      <c r="B13" s="15" t="s">
        <v>15</v>
      </c>
      <c r="C13" s="16" t="s">
        <v>16</v>
      </c>
      <c r="D13" s="17" t="s">
        <v>12</v>
      </c>
    </row>
    <row r="14" spans="1:4" ht="15" customHeight="1" x14ac:dyDescent="0.2">
      <c r="B14" s="18" t="s">
        <v>17</v>
      </c>
      <c r="C14" s="19" t="s">
        <v>18</v>
      </c>
      <c r="D14" s="20" t="s">
        <v>19</v>
      </c>
    </row>
    <row r="15" spans="1:4" ht="27.75" customHeight="1" x14ac:dyDescent="0.2">
      <c r="B15" s="15" t="s">
        <v>20</v>
      </c>
      <c r="C15" s="16" t="s">
        <v>21</v>
      </c>
      <c r="D15" s="17" t="s">
        <v>19</v>
      </c>
    </row>
    <row r="16" spans="1:4" ht="15" customHeight="1" x14ac:dyDescent="0.2">
      <c r="B16" s="18" t="s">
        <v>22</v>
      </c>
      <c r="C16" s="19" t="s">
        <v>23</v>
      </c>
      <c r="D16" s="20" t="s">
        <v>19</v>
      </c>
    </row>
    <row r="17" spans="2:4" ht="15" customHeight="1" x14ac:dyDescent="0.2">
      <c r="B17" s="15" t="s">
        <v>24</v>
      </c>
      <c r="C17" s="16" t="s">
        <v>25</v>
      </c>
      <c r="D17" s="17" t="s">
        <v>26</v>
      </c>
    </row>
    <row r="18" spans="2:4" ht="15" customHeight="1" x14ac:dyDescent="0.2">
      <c r="B18" s="21"/>
      <c r="C18" s="22"/>
      <c r="D18" s="23"/>
    </row>
  </sheetData>
  <mergeCells count="6">
    <mergeCell ref="B8:D8"/>
    <mergeCell ref="A1:D1"/>
    <mergeCell ref="A2:D2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zoomScale="167" zoomScaleNormal="100" workbookViewId="0">
      <selection activeCell="C6" sqref="C6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6" width="20" customWidth="1"/>
    <col min="7" max="7" width="3" customWidth="1"/>
  </cols>
  <sheetData>
    <row r="1" spans="1:6" ht="30" customHeight="1" x14ac:dyDescent="0.2">
      <c r="A1" s="7" t="s">
        <v>27</v>
      </c>
      <c r="B1" s="7"/>
      <c r="C1" s="7"/>
      <c r="D1" s="7"/>
      <c r="E1" s="7"/>
      <c r="F1" s="7"/>
    </row>
    <row r="2" spans="1:6" ht="15" customHeight="1" x14ac:dyDescent="0.2">
      <c r="A2" s="6" t="s">
        <v>28</v>
      </c>
      <c r="B2" s="6"/>
      <c r="C2" s="6"/>
      <c r="D2" s="6"/>
      <c r="E2" s="6"/>
      <c r="F2" s="6"/>
    </row>
    <row r="4" spans="1:6" ht="21.75" customHeight="1" x14ac:dyDescent="0.2">
      <c r="A4" s="5" t="s">
        <v>29</v>
      </c>
      <c r="B4" s="5"/>
      <c r="C4" s="5"/>
      <c r="D4" s="5"/>
      <c r="E4" s="5"/>
      <c r="F4" s="5"/>
    </row>
    <row r="5" spans="1:6" ht="15" customHeight="1" x14ac:dyDescent="0.2">
      <c r="B5" s="24" t="s">
        <v>30</v>
      </c>
      <c r="C5" s="24" t="s">
        <v>31</v>
      </c>
      <c r="D5" s="24" t="s">
        <v>32</v>
      </c>
      <c r="E5" s="24" t="s">
        <v>33</v>
      </c>
      <c r="F5" s="24"/>
    </row>
    <row r="6" spans="1:6" ht="39" customHeight="1" x14ac:dyDescent="0.2">
      <c r="B6" s="25" t="s">
        <v>34</v>
      </c>
      <c r="C6" s="26" t="s">
        <v>35</v>
      </c>
      <c r="D6" s="26" t="s">
        <v>36</v>
      </c>
      <c r="E6" s="26" t="s">
        <v>37</v>
      </c>
    </row>
    <row r="7" spans="1:6" ht="26.25" customHeight="1" x14ac:dyDescent="0.2">
      <c r="B7" s="27" t="s">
        <v>38</v>
      </c>
      <c r="C7" s="26" t="s">
        <v>39</v>
      </c>
      <c r="D7" s="26" t="s">
        <v>40</v>
      </c>
      <c r="E7" s="26" t="s">
        <v>41</v>
      </c>
    </row>
    <row r="9" spans="1:6" ht="21.75" customHeight="1" x14ac:dyDescent="0.2">
      <c r="A9" s="5" t="s">
        <v>42</v>
      </c>
      <c r="B9" s="5"/>
      <c r="C9" s="5"/>
      <c r="D9" s="5"/>
      <c r="E9" s="5"/>
      <c r="F9" s="5"/>
    </row>
    <row r="10" spans="1:6" ht="15" customHeight="1" x14ac:dyDescent="0.2">
      <c r="B10" s="24" t="s">
        <v>43</v>
      </c>
      <c r="C10" s="24" t="s">
        <v>31</v>
      </c>
      <c r="D10" s="24" t="s">
        <v>32</v>
      </c>
      <c r="E10" s="24" t="s">
        <v>44</v>
      </c>
      <c r="F10" s="24"/>
    </row>
    <row r="11" spans="1:6" ht="39" customHeight="1" x14ac:dyDescent="0.2">
      <c r="B11" s="28" t="s">
        <v>45</v>
      </c>
      <c r="C11" s="26" t="s">
        <v>46</v>
      </c>
      <c r="D11" s="26" t="s">
        <v>47</v>
      </c>
      <c r="E11" s="26" t="s">
        <v>48</v>
      </c>
    </row>
    <row r="12" spans="1:6" ht="26.25" customHeight="1" x14ac:dyDescent="0.2">
      <c r="B12" s="28" t="s">
        <v>49</v>
      </c>
      <c r="C12" s="26" t="s">
        <v>50</v>
      </c>
      <c r="D12" s="26" t="s">
        <v>51</v>
      </c>
      <c r="E12" s="26" t="s">
        <v>52</v>
      </c>
    </row>
    <row r="14" spans="1:6" ht="21.75" customHeight="1" x14ac:dyDescent="0.2">
      <c r="A14" s="5" t="s">
        <v>53</v>
      </c>
      <c r="B14" s="5"/>
      <c r="C14" s="5"/>
      <c r="D14" s="5"/>
      <c r="E14" s="5"/>
      <c r="F14" s="5"/>
    </row>
    <row r="15" spans="1:6" ht="15" customHeight="1" x14ac:dyDescent="0.2">
      <c r="B15" s="24" t="s">
        <v>43</v>
      </c>
      <c r="C15" s="24" t="s">
        <v>31</v>
      </c>
      <c r="D15" s="24" t="s">
        <v>32</v>
      </c>
      <c r="E15" s="24" t="s">
        <v>44</v>
      </c>
      <c r="F15" s="24"/>
    </row>
    <row r="16" spans="1:6" ht="51.75" customHeight="1" x14ac:dyDescent="0.2">
      <c r="B16" s="28" t="s">
        <v>54</v>
      </c>
      <c r="C16" s="26" t="s">
        <v>55</v>
      </c>
      <c r="D16" s="26" t="s">
        <v>56</v>
      </c>
      <c r="E16" s="26" t="s">
        <v>57</v>
      </c>
    </row>
    <row r="17" spans="1:6" ht="39" customHeight="1" x14ac:dyDescent="0.2">
      <c r="B17" s="28" t="s">
        <v>58</v>
      </c>
      <c r="C17" s="26" t="s">
        <v>59</v>
      </c>
      <c r="D17" s="26" t="s">
        <v>60</v>
      </c>
      <c r="E17" s="26" t="s">
        <v>61</v>
      </c>
    </row>
    <row r="19" spans="1:6" ht="21.75" customHeight="1" x14ac:dyDescent="0.2">
      <c r="A19" s="5" t="s">
        <v>62</v>
      </c>
      <c r="B19" s="5"/>
      <c r="C19" s="5"/>
      <c r="D19" s="5"/>
      <c r="E19" s="5"/>
      <c r="F19" s="5"/>
    </row>
    <row r="20" spans="1:6" ht="15" customHeight="1" x14ac:dyDescent="0.2">
      <c r="A20" s="4" t="s">
        <v>63</v>
      </c>
      <c r="B20" s="4"/>
      <c r="C20" s="4"/>
      <c r="D20" s="4"/>
      <c r="E20" s="4"/>
      <c r="F20" s="4"/>
    </row>
    <row r="21" spans="1:6" ht="26.25" customHeight="1" x14ac:dyDescent="0.2">
      <c r="B21" s="24" t="s">
        <v>64</v>
      </c>
      <c r="C21" s="24" t="s">
        <v>65</v>
      </c>
      <c r="D21" s="24" t="s">
        <v>66</v>
      </c>
      <c r="E21" s="24" t="s">
        <v>43</v>
      </c>
      <c r="F21" s="24" t="s">
        <v>67</v>
      </c>
    </row>
    <row r="22" spans="1:6" ht="26.25" customHeight="1" x14ac:dyDescent="0.2">
      <c r="B22" s="26" t="s">
        <v>68</v>
      </c>
      <c r="C22" s="26" t="s">
        <v>69</v>
      </c>
      <c r="D22" s="29"/>
      <c r="E22" s="29"/>
      <c r="F22" s="30" t="s">
        <v>70</v>
      </c>
    </row>
    <row r="23" spans="1:6" ht="15" customHeight="1" x14ac:dyDescent="0.2">
      <c r="B23" s="26" t="s">
        <v>71</v>
      </c>
      <c r="C23" s="26" t="s">
        <v>72</v>
      </c>
      <c r="D23" s="29"/>
      <c r="E23" s="29"/>
      <c r="F23" s="30" t="s">
        <v>73</v>
      </c>
    </row>
    <row r="24" spans="1:6" ht="15" customHeight="1" x14ac:dyDescent="0.2">
      <c r="B24" s="26" t="s">
        <v>74</v>
      </c>
      <c r="C24" s="26" t="s">
        <v>75</v>
      </c>
      <c r="D24" s="29"/>
      <c r="E24" s="29"/>
      <c r="F24" s="30" t="s">
        <v>76</v>
      </c>
    </row>
    <row r="25" spans="1:6" ht="15" customHeight="1" x14ac:dyDescent="0.2">
      <c r="B25" s="26" t="s">
        <v>77</v>
      </c>
      <c r="C25" s="26" t="s">
        <v>78</v>
      </c>
      <c r="D25" s="29"/>
      <c r="E25" s="29"/>
      <c r="F25" s="30" t="s">
        <v>79</v>
      </c>
    </row>
    <row r="26" spans="1:6" ht="15" customHeight="1" x14ac:dyDescent="0.2">
      <c r="B26" s="26" t="s">
        <v>80</v>
      </c>
      <c r="C26" s="26" t="s">
        <v>81</v>
      </c>
      <c r="D26" s="29"/>
      <c r="E26" s="29"/>
      <c r="F26" s="30" t="s">
        <v>73</v>
      </c>
    </row>
    <row r="27" spans="1:6" ht="15" customHeight="1" x14ac:dyDescent="0.2">
      <c r="B27" s="26" t="s">
        <v>82</v>
      </c>
      <c r="C27" s="26" t="s">
        <v>83</v>
      </c>
      <c r="D27" s="29"/>
      <c r="E27" s="29"/>
      <c r="F27" s="30" t="s">
        <v>70</v>
      </c>
    </row>
    <row r="28" spans="1:6" ht="15" customHeight="1" x14ac:dyDescent="0.2">
      <c r="B28" s="26" t="s">
        <v>84</v>
      </c>
      <c r="C28" s="26" t="s">
        <v>85</v>
      </c>
      <c r="D28" s="29"/>
      <c r="E28" s="29"/>
      <c r="F28" s="30" t="s">
        <v>79</v>
      </c>
    </row>
    <row r="29" spans="1:6" ht="15" customHeight="1" x14ac:dyDescent="0.2">
      <c r="B29" s="26" t="s">
        <v>86</v>
      </c>
      <c r="C29" s="26" t="s">
        <v>87</v>
      </c>
      <c r="D29" s="29"/>
      <c r="E29" s="29"/>
      <c r="F29" s="30" t="s">
        <v>76</v>
      </c>
    </row>
    <row r="30" spans="1:6" ht="15" customHeight="1" x14ac:dyDescent="0.2">
      <c r="B30" s="26" t="s">
        <v>88</v>
      </c>
      <c r="C30" s="26" t="s">
        <v>89</v>
      </c>
      <c r="D30" s="29"/>
      <c r="E30" s="29"/>
      <c r="F30" s="30" t="s">
        <v>70</v>
      </c>
    </row>
    <row r="31" spans="1:6" ht="15" customHeight="1" x14ac:dyDescent="0.2">
      <c r="B31" s="26" t="s">
        <v>90</v>
      </c>
      <c r="C31" s="26" t="s">
        <v>91</v>
      </c>
      <c r="D31" s="29"/>
      <c r="E31" s="29"/>
      <c r="F31" s="30" t="s">
        <v>76</v>
      </c>
    </row>
    <row r="33" spans="1:6" ht="15" customHeight="1" x14ac:dyDescent="0.2">
      <c r="A33" s="4" t="s">
        <v>92</v>
      </c>
      <c r="B33" s="4"/>
      <c r="C33" s="4"/>
      <c r="D33" s="4"/>
      <c r="E33" s="4"/>
      <c r="F33" s="4"/>
    </row>
  </sheetData>
  <mergeCells count="8">
    <mergeCell ref="A19:F19"/>
    <mergeCell ref="A20:F20"/>
    <mergeCell ref="A33:F33"/>
    <mergeCell ref="A1:F1"/>
    <mergeCell ref="A2:F2"/>
    <mergeCell ref="A4:F4"/>
    <mergeCell ref="A9:F9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"/>
  <sheetViews>
    <sheetView zoomScaleNormal="100" workbookViewId="0">
      <selection sqref="A1:G1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7" width="14" customWidth="1"/>
    <col min="8" max="8" width="3" customWidth="1"/>
  </cols>
  <sheetData>
    <row r="1" spans="1:7" ht="30" customHeight="1" x14ac:dyDescent="0.2">
      <c r="A1" s="7" t="s">
        <v>93</v>
      </c>
      <c r="B1" s="7"/>
      <c r="C1" s="7"/>
      <c r="D1" s="7"/>
      <c r="E1" s="7"/>
      <c r="F1" s="7"/>
      <c r="G1" s="7"/>
    </row>
    <row r="2" spans="1:7" ht="15" customHeight="1" x14ac:dyDescent="0.2">
      <c r="A2" s="6" t="s">
        <v>94</v>
      </c>
      <c r="B2" s="6"/>
      <c r="C2" s="6"/>
      <c r="D2" s="6"/>
      <c r="E2" s="6"/>
      <c r="F2" s="6"/>
      <c r="G2" s="6"/>
    </row>
    <row r="4" spans="1:7" ht="21.75" customHeight="1" x14ac:dyDescent="0.2">
      <c r="A4" s="5" t="s">
        <v>95</v>
      </c>
      <c r="B4" s="5"/>
      <c r="C4" s="5"/>
      <c r="D4" s="5"/>
      <c r="E4" s="5"/>
      <c r="F4" s="5"/>
      <c r="G4" s="5"/>
    </row>
    <row r="5" spans="1:7" ht="15" customHeight="1" x14ac:dyDescent="0.2">
      <c r="A5" s="3" t="s">
        <v>96</v>
      </c>
      <c r="B5" s="3"/>
      <c r="C5" s="3"/>
      <c r="D5" s="3"/>
      <c r="E5" s="3"/>
      <c r="F5" s="3"/>
      <c r="G5" s="3"/>
    </row>
    <row r="6" spans="1:7" ht="15" customHeight="1" x14ac:dyDescent="0.2">
      <c r="B6" s="24" t="s">
        <v>97</v>
      </c>
      <c r="C6" s="24" t="s">
        <v>98</v>
      </c>
      <c r="D6" s="24" t="s">
        <v>99</v>
      </c>
      <c r="E6" s="24" t="s">
        <v>100</v>
      </c>
      <c r="F6" s="24" t="s">
        <v>101</v>
      </c>
      <c r="G6" s="24" t="s">
        <v>102</v>
      </c>
    </row>
    <row r="7" spans="1:7" ht="15" customHeight="1" x14ac:dyDescent="0.2">
      <c r="B7" s="31">
        <v>23</v>
      </c>
      <c r="C7" s="31">
        <v>35</v>
      </c>
      <c r="D7" s="31">
        <v>41</v>
      </c>
      <c r="E7" s="31">
        <v>28</v>
      </c>
      <c r="F7" s="31">
        <v>19</v>
      </c>
      <c r="G7" s="31">
        <v>44</v>
      </c>
    </row>
    <row r="8" spans="1:7" ht="15" customHeight="1" x14ac:dyDescent="0.2">
      <c r="B8" s="31">
        <v>37</v>
      </c>
      <c r="C8" s="31">
        <v>31</v>
      </c>
      <c r="D8" s="31">
        <v>25</v>
      </c>
      <c r="E8" s="31">
        <v>38</v>
      </c>
      <c r="F8" s="31">
        <v>42</v>
      </c>
      <c r="G8" s="31">
        <v>29</v>
      </c>
    </row>
    <row r="9" spans="1:7" ht="15" customHeight="1" x14ac:dyDescent="0.2">
      <c r="B9" s="31">
        <v>33</v>
      </c>
      <c r="C9" s="31">
        <v>46</v>
      </c>
      <c r="D9" s="31">
        <v>22</v>
      </c>
      <c r="E9" s="31">
        <v>40</v>
      </c>
      <c r="F9" s="31">
        <v>36</v>
      </c>
      <c r="G9" s="31">
        <v>27</v>
      </c>
    </row>
    <row r="10" spans="1:7" ht="15" customHeight="1" x14ac:dyDescent="0.2">
      <c r="B10" s="31">
        <v>31</v>
      </c>
      <c r="C10" s="31">
        <v>43</v>
      </c>
      <c r="D10" s="31">
        <v>18</v>
      </c>
      <c r="E10" s="31">
        <v>35</v>
      </c>
      <c r="F10" s="31">
        <v>29</v>
      </c>
      <c r="G10" s="31">
        <v>38</v>
      </c>
    </row>
    <row r="11" spans="1:7" ht="15" customHeight="1" x14ac:dyDescent="0.2">
      <c r="B11" s="31">
        <v>44</v>
      </c>
      <c r="C11" s="31">
        <v>26</v>
      </c>
      <c r="D11" s="31">
        <v>32</v>
      </c>
      <c r="E11" s="31">
        <v>40</v>
      </c>
      <c r="F11" s="31">
        <v>35</v>
      </c>
      <c r="G11" s="31">
        <v>28</v>
      </c>
    </row>
    <row r="13" spans="1:7" ht="21.75" customHeight="1" x14ac:dyDescent="0.2">
      <c r="A13" s="5" t="s">
        <v>103</v>
      </c>
      <c r="B13" s="5"/>
      <c r="C13" s="5"/>
      <c r="D13" s="5"/>
      <c r="E13" s="5"/>
      <c r="F13" s="5"/>
      <c r="G13" s="5"/>
    </row>
    <row r="14" spans="1:7" ht="15" customHeight="1" x14ac:dyDescent="0.2">
      <c r="A14" s="3" t="s">
        <v>104</v>
      </c>
      <c r="B14" s="3"/>
      <c r="C14" s="3"/>
      <c r="D14" s="3"/>
      <c r="E14" s="3"/>
      <c r="F14" s="3"/>
      <c r="G14" s="3"/>
    </row>
    <row r="15" spans="1:7" ht="26.25" customHeight="1" x14ac:dyDescent="0.2">
      <c r="B15" s="24" t="s">
        <v>105</v>
      </c>
      <c r="C15" s="24" t="s">
        <v>106</v>
      </c>
      <c r="D15" s="24" t="s">
        <v>107</v>
      </c>
      <c r="E15" s="24" t="s">
        <v>108</v>
      </c>
      <c r="F15" s="24" t="s">
        <v>109</v>
      </c>
      <c r="G15" s="24" t="s">
        <v>110</v>
      </c>
    </row>
    <row r="16" spans="1:7" ht="15" customHeight="1" x14ac:dyDescent="0.2">
      <c r="B16" s="32" t="s">
        <v>111</v>
      </c>
      <c r="C16" s="33">
        <v>17</v>
      </c>
      <c r="D16" s="29"/>
      <c r="E16" s="31">
        <v>2</v>
      </c>
      <c r="F16" s="34">
        <f>E16/E23*100</f>
        <v>6.666666666666667</v>
      </c>
      <c r="G16" s="31">
        <v>2</v>
      </c>
    </row>
    <row r="17" spans="1:7" ht="15" customHeight="1" x14ac:dyDescent="0.2">
      <c r="B17" s="35" t="s">
        <v>112</v>
      </c>
      <c r="C17" s="33">
        <v>22</v>
      </c>
      <c r="D17" s="29"/>
      <c r="E17" s="31">
        <v>2</v>
      </c>
      <c r="F17" s="34">
        <f>E17/E23*100</f>
        <v>6.666666666666667</v>
      </c>
      <c r="G17" s="31">
        <v>4</v>
      </c>
    </row>
    <row r="18" spans="1:7" ht="15" customHeight="1" x14ac:dyDescent="0.2">
      <c r="B18" s="32" t="s">
        <v>113</v>
      </c>
      <c r="C18" s="33">
        <v>27</v>
      </c>
      <c r="D18" s="29"/>
      <c r="E18" s="31">
        <v>7</v>
      </c>
      <c r="F18" s="34">
        <f>E18/E23*100</f>
        <v>23.333333333333332</v>
      </c>
      <c r="G18" s="31">
        <v>11</v>
      </c>
    </row>
    <row r="19" spans="1:7" ht="15" customHeight="1" x14ac:dyDescent="0.2">
      <c r="B19" s="35" t="s">
        <v>114</v>
      </c>
      <c r="C19" s="33">
        <v>32</v>
      </c>
      <c r="D19" s="29"/>
      <c r="E19" s="31">
        <v>4</v>
      </c>
      <c r="F19" s="34">
        <f>E19/E23*100</f>
        <v>13.333333333333334</v>
      </c>
      <c r="G19" s="31">
        <v>15</v>
      </c>
    </row>
    <row r="20" spans="1:7" ht="15" customHeight="1" x14ac:dyDescent="0.2">
      <c r="B20" s="32" t="s">
        <v>115</v>
      </c>
      <c r="C20" s="33">
        <v>37</v>
      </c>
      <c r="D20" s="29"/>
      <c r="E20" s="31">
        <v>7</v>
      </c>
      <c r="F20" s="34">
        <f>E20/E23*100</f>
        <v>23.333333333333332</v>
      </c>
      <c r="G20" s="31">
        <v>22</v>
      </c>
    </row>
    <row r="21" spans="1:7" ht="15" customHeight="1" x14ac:dyDescent="0.2">
      <c r="B21" s="35" t="s">
        <v>116</v>
      </c>
      <c r="C21" s="33">
        <v>42</v>
      </c>
      <c r="D21" s="29"/>
      <c r="E21" s="31">
        <v>7</v>
      </c>
      <c r="F21" s="34">
        <f>E21/E23*100</f>
        <v>23.333333333333332</v>
      </c>
      <c r="G21" s="31">
        <v>29</v>
      </c>
    </row>
    <row r="22" spans="1:7" ht="15" customHeight="1" x14ac:dyDescent="0.2">
      <c r="B22" s="32" t="s">
        <v>117</v>
      </c>
      <c r="C22" s="33">
        <v>47</v>
      </c>
      <c r="D22" s="29"/>
      <c r="E22" s="31">
        <v>1</v>
      </c>
      <c r="F22" s="34">
        <f>E22/E23*100</f>
        <v>3.3333333333333335</v>
      </c>
      <c r="G22" s="31">
        <v>30</v>
      </c>
    </row>
    <row r="23" spans="1:7" ht="15" customHeight="1" x14ac:dyDescent="0.2">
      <c r="B23" s="27" t="s">
        <v>118</v>
      </c>
      <c r="E23" s="36">
        <f>SUM(E16:E22)</f>
        <v>30</v>
      </c>
      <c r="F23" s="37">
        <f>SUM(F16:F22)</f>
        <v>99.999999999999986</v>
      </c>
    </row>
    <row r="25" spans="1:7" ht="21.75" customHeight="1" x14ac:dyDescent="0.2">
      <c r="A25" s="5" t="s">
        <v>119</v>
      </c>
      <c r="B25" s="5"/>
      <c r="C25" s="5"/>
      <c r="D25" s="5"/>
      <c r="E25" s="5"/>
      <c r="F25" s="5"/>
      <c r="G25" s="5"/>
    </row>
    <row r="26" spans="1:7" ht="15" customHeight="1" x14ac:dyDescent="0.2">
      <c r="B26" s="24" t="s">
        <v>120</v>
      </c>
      <c r="C26" s="24" t="s">
        <v>31</v>
      </c>
      <c r="D26" s="24"/>
      <c r="E26" s="24" t="s">
        <v>121</v>
      </c>
      <c r="F26" s="24"/>
      <c r="G26" s="24"/>
    </row>
    <row r="27" spans="1:7" ht="27.75" customHeight="1" x14ac:dyDescent="0.2">
      <c r="B27" s="38" t="s">
        <v>122</v>
      </c>
      <c r="C27" s="2" t="s">
        <v>123</v>
      </c>
      <c r="D27" s="2"/>
      <c r="E27" s="2" t="s">
        <v>124</v>
      </c>
      <c r="F27" s="2"/>
      <c r="G27" s="2"/>
    </row>
    <row r="28" spans="1:7" ht="27.75" customHeight="1" x14ac:dyDescent="0.2">
      <c r="B28" s="40" t="s">
        <v>125</v>
      </c>
      <c r="C28" s="2" t="s">
        <v>126</v>
      </c>
      <c r="D28" s="2"/>
      <c r="E28" s="2" t="s">
        <v>127</v>
      </c>
      <c r="F28" s="2"/>
      <c r="G28" s="2"/>
    </row>
    <row r="29" spans="1:7" ht="27.75" customHeight="1" x14ac:dyDescent="0.2">
      <c r="B29" s="38" t="s">
        <v>108</v>
      </c>
      <c r="C29" s="2" t="s">
        <v>128</v>
      </c>
      <c r="D29" s="2"/>
      <c r="E29" s="2" t="s">
        <v>129</v>
      </c>
      <c r="F29" s="2"/>
      <c r="G29" s="2"/>
    </row>
    <row r="30" spans="1:7" ht="27.75" customHeight="1" x14ac:dyDescent="0.2">
      <c r="B30" s="40" t="s">
        <v>130</v>
      </c>
      <c r="C30" s="2" t="s">
        <v>131</v>
      </c>
      <c r="D30" s="2"/>
      <c r="E30" s="2" t="s">
        <v>132</v>
      </c>
      <c r="F30" s="2"/>
      <c r="G30" s="2"/>
    </row>
    <row r="31" spans="1:7" ht="26.25" customHeight="1" x14ac:dyDescent="0.2">
      <c r="B31" s="38" t="s">
        <v>133</v>
      </c>
      <c r="C31" s="2" t="s">
        <v>134</v>
      </c>
      <c r="D31" s="2"/>
      <c r="E31" s="2" t="s">
        <v>135</v>
      </c>
      <c r="F31" s="2"/>
      <c r="G31" s="2"/>
    </row>
    <row r="32" spans="1:7" ht="27.75" customHeight="1" x14ac:dyDescent="0.2">
      <c r="B32" s="40" t="s">
        <v>136</v>
      </c>
      <c r="C32" s="2" t="s">
        <v>137</v>
      </c>
      <c r="D32" s="2"/>
      <c r="E32" s="2" t="s">
        <v>138</v>
      </c>
      <c r="F32" s="2"/>
      <c r="G32" s="2"/>
    </row>
    <row r="33" spans="1:7" ht="27.75" customHeight="1" x14ac:dyDescent="0.2">
      <c r="B33" s="38" t="s">
        <v>139</v>
      </c>
      <c r="C33" s="2" t="s">
        <v>140</v>
      </c>
      <c r="D33" s="2"/>
      <c r="E33" s="2" t="s">
        <v>141</v>
      </c>
      <c r="F33" s="2"/>
      <c r="G33" s="2"/>
    </row>
    <row r="35" spans="1:7" ht="23.25" customHeight="1" x14ac:dyDescent="0.2">
      <c r="A35" s="4" t="s">
        <v>142</v>
      </c>
      <c r="B35" s="4"/>
      <c r="C35" s="4"/>
      <c r="D35" s="4"/>
      <c r="E35" s="4"/>
      <c r="F35" s="4"/>
      <c r="G35" s="4"/>
    </row>
  </sheetData>
  <mergeCells count="22">
    <mergeCell ref="C32:D32"/>
    <mergeCell ref="E32:G32"/>
    <mergeCell ref="C33:D33"/>
    <mergeCell ref="E33:G33"/>
    <mergeCell ref="A35:G35"/>
    <mergeCell ref="C29:D29"/>
    <mergeCell ref="E29:G29"/>
    <mergeCell ref="C30:D30"/>
    <mergeCell ref="E30:G30"/>
    <mergeCell ref="C31:D31"/>
    <mergeCell ref="E31:G31"/>
    <mergeCell ref="A14:G14"/>
    <mergeCell ref="A25:G25"/>
    <mergeCell ref="C27:D27"/>
    <mergeCell ref="E27:G27"/>
    <mergeCell ref="C28:D28"/>
    <mergeCell ref="E28:G28"/>
    <mergeCell ref="A1:G1"/>
    <mergeCell ref="A2:G2"/>
    <mergeCell ref="A4:G4"/>
    <mergeCell ref="A5:G5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5" width="16" customWidth="1"/>
    <col min="6" max="6" width="22" customWidth="1"/>
    <col min="7" max="7" width="3" customWidth="1"/>
  </cols>
  <sheetData>
    <row r="1" spans="1:6" ht="30" customHeight="1" x14ac:dyDescent="0.2">
      <c r="A1" s="7" t="s">
        <v>143</v>
      </c>
      <c r="B1" s="7"/>
      <c r="C1" s="7"/>
      <c r="D1" s="7"/>
      <c r="E1" s="7"/>
      <c r="F1" s="7"/>
    </row>
    <row r="2" spans="1:6" ht="15" customHeight="1" x14ac:dyDescent="0.2">
      <c r="A2" s="6" t="s">
        <v>144</v>
      </c>
      <c r="B2" s="6"/>
      <c r="C2" s="6"/>
      <c r="D2" s="6"/>
      <c r="E2" s="6"/>
      <c r="F2" s="6"/>
    </row>
    <row r="4" spans="1:6" ht="21.75" customHeight="1" x14ac:dyDescent="0.2">
      <c r="A4" s="5" t="s">
        <v>145</v>
      </c>
      <c r="B4" s="5"/>
      <c r="C4" s="5"/>
      <c r="D4" s="5"/>
      <c r="E4" s="5"/>
      <c r="F4" s="5"/>
    </row>
    <row r="5" spans="1:6" ht="15" customHeight="1" x14ac:dyDescent="0.2">
      <c r="A5" s="3" t="s">
        <v>146</v>
      </c>
      <c r="B5" s="3"/>
      <c r="C5" s="3"/>
      <c r="D5" s="3"/>
      <c r="E5" s="3"/>
      <c r="F5" s="3"/>
    </row>
    <row r="6" spans="1:6" ht="15" customHeight="1" x14ac:dyDescent="0.2">
      <c r="B6" s="24" t="s">
        <v>147</v>
      </c>
      <c r="C6" s="24" t="s">
        <v>148</v>
      </c>
      <c r="D6" s="24"/>
      <c r="E6" s="24" t="s">
        <v>149</v>
      </c>
      <c r="F6" s="24"/>
    </row>
    <row r="7" spans="1:6" ht="15" customHeight="1" x14ac:dyDescent="0.2">
      <c r="B7" s="31">
        <v>1</v>
      </c>
      <c r="C7" s="41">
        <v>4</v>
      </c>
    </row>
    <row r="8" spans="1:6" ht="15" customHeight="1" x14ac:dyDescent="0.2">
      <c r="B8" s="31">
        <v>2</v>
      </c>
      <c r="C8" s="41">
        <v>7</v>
      </c>
    </row>
    <row r="9" spans="1:6" ht="15" customHeight="1" x14ac:dyDescent="0.2">
      <c r="B9" s="31">
        <v>3</v>
      </c>
      <c r="C9" s="41">
        <v>12</v>
      </c>
    </row>
    <row r="10" spans="1:6" ht="15" customHeight="1" x14ac:dyDescent="0.2">
      <c r="B10" s="31">
        <v>4</v>
      </c>
      <c r="C10" s="41">
        <v>5</v>
      </c>
    </row>
    <row r="11" spans="1:6" ht="15" customHeight="1" x14ac:dyDescent="0.2">
      <c r="B11" s="31">
        <v>5</v>
      </c>
      <c r="C11" s="41">
        <v>8</v>
      </c>
    </row>
    <row r="12" spans="1:6" ht="15" customHeight="1" x14ac:dyDescent="0.2">
      <c r="B12" s="31">
        <v>6</v>
      </c>
      <c r="C12" s="41">
        <v>6</v>
      </c>
    </row>
    <row r="13" spans="1:6" ht="15" customHeight="1" x14ac:dyDescent="0.2">
      <c r="B13" s="31">
        <v>7</v>
      </c>
      <c r="C13" s="41">
        <v>14</v>
      </c>
    </row>
    <row r="14" spans="1:6" ht="15" customHeight="1" x14ac:dyDescent="0.2">
      <c r="B14" s="31">
        <v>8</v>
      </c>
      <c r="C14" s="41">
        <v>9</v>
      </c>
    </row>
    <row r="15" spans="1:6" ht="15" customHeight="1" x14ac:dyDescent="0.2">
      <c r="B15" s="31">
        <v>9</v>
      </c>
      <c r="C15" s="41">
        <v>7</v>
      </c>
    </row>
    <row r="16" spans="1:6" ht="15" customHeight="1" x14ac:dyDescent="0.2">
      <c r="B16" s="31">
        <v>10</v>
      </c>
      <c r="C16" s="41">
        <v>6</v>
      </c>
    </row>
    <row r="17" spans="1:6" ht="15" customHeight="1" x14ac:dyDescent="0.2">
      <c r="B17" s="31">
        <v>11</v>
      </c>
      <c r="C17" s="41">
        <v>11</v>
      </c>
    </row>
    <row r="18" spans="1:6" ht="15" customHeight="1" x14ac:dyDescent="0.2">
      <c r="B18" s="31">
        <v>12</v>
      </c>
      <c r="C18" s="41">
        <v>8</v>
      </c>
    </row>
    <row r="19" spans="1:6" ht="15" customHeight="1" x14ac:dyDescent="0.2">
      <c r="B19" s="31">
        <v>13</v>
      </c>
      <c r="C19" s="41">
        <v>5</v>
      </c>
    </row>
    <row r="20" spans="1:6" ht="15" customHeight="1" x14ac:dyDescent="0.2">
      <c r="B20" s="31">
        <v>14</v>
      </c>
      <c r="C20" s="41">
        <v>7</v>
      </c>
    </row>
    <row r="21" spans="1:6" ht="15" customHeight="1" x14ac:dyDescent="0.2">
      <c r="B21" s="31">
        <v>15</v>
      </c>
      <c r="C21" s="41">
        <v>22</v>
      </c>
    </row>
    <row r="23" spans="1:6" ht="21.75" customHeight="1" x14ac:dyDescent="0.2">
      <c r="A23" s="5" t="s">
        <v>150</v>
      </c>
      <c r="B23" s="5"/>
      <c r="C23" s="5"/>
      <c r="D23" s="5"/>
      <c r="E23" s="5"/>
      <c r="F23" s="5"/>
    </row>
    <row r="24" spans="1:6" ht="15" customHeight="1" x14ac:dyDescent="0.2">
      <c r="B24" s="24" t="s">
        <v>151</v>
      </c>
      <c r="C24" s="24" t="s">
        <v>152</v>
      </c>
      <c r="D24" s="24" t="s">
        <v>153</v>
      </c>
      <c r="E24" s="24" t="s">
        <v>154</v>
      </c>
      <c r="F24" s="24" t="s">
        <v>155</v>
      </c>
    </row>
    <row r="25" spans="1:6" ht="27.75" customHeight="1" x14ac:dyDescent="0.2">
      <c r="B25" s="25" t="s">
        <v>156</v>
      </c>
      <c r="C25" s="26" t="s">
        <v>157</v>
      </c>
      <c r="D25" s="42">
        <f>AVERAGE(C7:C21)</f>
        <v>8.7333333333333325</v>
      </c>
      <c r="E25" s="39" t="s">
        <v>158</v>
      </c>
      <c r="F25" s="39" t="s">
        <v>159</v>
      </c>
    </row>
    <row r="26" spans="1:6" ht="27.75" customHeight="1" x14ac:dyDescent="0.2">
      <c r="B26" s="25" t="s">
        <v>160</v>
      </c>
      <c r="C26" s="26" t="s">
        <v>161</v>
      </c>
      <c r="D26" s="42">
        <f>MEDIAN(C7:C21)</f>
        <v>7</v>
      </c>
      <c r="E26" s="39" t="s">
        <v>162</v>
      </c>
      <c r="F26" s="39" t="s">
        <v>163</v>
      </c>
    </row>
    <row r="27" spans="1:6" ht="27.75" customHeight="1" x14ac:dyDescent="0.2">
      <c r="B27" s="25" t="s">
        <v>164</v>
      </c>
      <c r="C27" s="26" t="s">
        <v>165</v>
      </c>
      <c r="D27" s="42">
        <f>MODE(C7:C21)</f>
        <v>7</v>
      </c>
      <c r="E27" s="39" t="s">
        <v>166</v>
      </c>
      <c r="F27" s="39" t="s">
        <v>167</v>
      </c>
    </row>
    <row r="29" spans="1:6" ht="15" customHeight="1" x14ac:dyDescent="0.2">
      <c r="A29" s="4" t="s">
        <v>168</v>
      </c>
      <c r="B29" s="4"/>
      <c r="C29" s="4"/>
      <c r="D29" s="4"/>
      <c r="E29" s="4"/>
      <c r="F29" s="4"/>
    </row>
    <row r="31" spans="1:6" ht="21.75" customHeight="1" x14ac:dyDescent="0.2">
      <c r="A31" s="5" t="s">
        <v>169</v>
      </c>
      <c r="B31" s="5"/>
      <c r="C31" s="5"/>
      <c r="D31" s="5"/>
      <c r="E31" s="5"/>
      <c r="F31" s="5"/>
    </row>
    <row r="32" spans="1:6" ht="26.25" customHeight="1" x14ac:dyDescent="0.2">
      <c r="B32" s="24" t="s">
        <v>170</v>
      </c>
      <c r="C32" s="24" t="s">
        <v>171</v>
      </c>
      <c r="D32" s="24" t="s">
        <v>172</v>
      </c>
      <c r="E32" s="24" t="s">
        <v>173</v>
      </c>
      <c r="F32" s="24"/>
    </row>
    <row r="33" spans="1:6" ht="39" customHeight="1" x14ac:dyDescent="0.2">
      <c r="B33" s="38" t="s">
        <v>174</v>
      </c>
      <c r="C33" s="26" t="s">
        <v>175</v>
      </c>
      <c r="D33" s="26" t="s">
        <v>176</v>
      </c>
      <c r="E33" s="26" t="s">
        <v>177</v>
      </c>
    </row>
    <row r="34" spans="1:6" ht="39" customHeight="1" x14ac:dyDescent="0.2">
      <c r="B34" s="40" t="s">
        <v>178</v>
      </c>
      <c r="C34" s="26" t="s">
        <v>179</v>
      </c>
      <c r="D34" s="26" t="s">
        <v>180</v>
      </c>
      <c r="E34" s="26" t="s">
        <v>181</v>
      </c>
    </row>
    <row r="35" spans="1:6" ht="39" customHeight="1" x14ac:dyDescent="0.2">
      <c r="B35" s="38" t="s">
        <v>182</v>
      </c>
      <c r="C35" s="26" t="s">
        <v>183</v>
      </c>
      <c r="D35" s="26" t="s">
        <v>184</v>
      </c>
      <c r="E35" s="26" t="s">
        <v>185</v>
      </c>
    </row>
    <row r="37" spans="1:6" ht="21.75" customHeight="1" x14ac:dyDescent="0.2">
      <c r="A37" s="5" t="s">
        <v>186</v>
      </c>
      <c r="B37" s="5"/>
      <c r="C37" s="5"/>
      <c r="D37" s="5"/>
      <c r="E37" s="5"/>
      <c r="F37" s="5"/>
    </row>
    <row r="38" spans="1:6" ht="15" customHeight="1" x14ac:dyDescent="0.2">
      <c r="B38" s="24" t="s">
        <v>120</v>
      </c>
      <c r="C38" s="24" t="s">
        <v>187</v>
      </c>
      <c r="D38" s="24" t="s">
        <v>173</v>
      </c>
      <c r="E38" s="24"/>
      <c r="F38" s="24"/>
    </row>
    <row r="39" spans="1:6" ht="39" customHeight="1" x14ac:dyDescent="0.2">
      <c r="B39" s="28" t="s">
        <v>188</v>
      </c>
      <c r="C39" s="26" t="s">
        <v>189</v>
      </c>
      <c r="D39" s="26" t="s">
        <v>190</v>
      </c>
    </row>
    <row r="40" spans="1:6" ht="39" customHeight="1" x14ac:dyDescent="0.2">
      <c r="B40" s="28" t="s">
        <v>191</v>
      </c>
      <c r="C40" s="26" t="s">
        <v>192</v>
      </c>
      <c r="D40" s="26" t="s">
        <v>193</v>
      </c>
    </row>
    <row r="41" spans="1:6" ht="51.75" customHeight="1" x14ac:dyDescent="0.2">
      <c r="B41" s="28" t="s">
        <v>194</v>
      </c>
      <c r="C41" s="26" t="s">
        <v>195</v>
      </c>
      <c r="D41" s="26" t="s">
        <v>196</v>
      </c>
    </row>
    <row r="42" spans="1:6" ht="39" customHeight="1" x14ac:dyDescent="0.2">
      <c r="B42" s="28" t="s">
        <v>197</v>
      </c>
      <c r="C42" s="26" t="s">
        <v>198</v>
      </c>
      <c r="D42" s="26" t="s">
        <v>199</v>
      </c>
    </row>
    <row r="44" spans="1:6" ht="21.75" customHeight="1" x14ac:dyDescent="0.2">
      <c r="A44" s="5" t="s">
        <v>200</v>
      </c>
      <c r="B44" s="5"/>
      <c r="C44" s="5"/>
      <c r="D44" s="5"/>
      <c r="E44" s="5"/>
      <c r="F44" s="5"/>
    </row>
    <row r="45" spans="1:6" ht="15" customHeight="1" x14ac:dyDescent="0.2">
      <c r="A45" s="3" t="s">
        <v>201</v>
      </c>
      <c r="B45" s="3"/>
      <c r="C45" s="3"/>
      <c r="D45" s="3"/>
      <c r="E45" s="3"/>
      <c r="F45" s="3"/>
    </row>
    <row r="46" spans="1:6" ht="15" customHeight="1" x14ac:dyDescent="0.2">
      <c r="B46" s="24" t="s">
        <v>202</v>
      </c>
      <c r="C46" s="24"/>
      <c r="D46" s="24"/>
      <c r="E46" s="24"/>
      <c r="F46" s="24"/>
    </row>
    <row r="47" spans="1:6" ht="15" customHeight="1" x14ac:dyDescent="0.2">
      <c r="B47" s="43">
        <v>42000</v>
      </c>
      <c r="C47" s="43">
        <v>45000</v>
      </c>
      <c r="D47" s="43">
        <v>47000</v>
      </c>
      <c r="E47" s="43">
        <v>50000</v>
      </c>
    </row>
    <row r="48" spans="1:6" ht="15" customHeight="1" x14ac:dyDescent="0.2">
      <c r="B48" s="43">
        <v>52000</v>
      </c>
      <c r="C48" s="43">
        <v>48000</v>
      </c>
      <c r="D48" s="43">
        <v>46000</v>
      </c>
      <c r="E48" s="43">
        <v>180000</v>
      </c>
    </row>
    <row r="50" spans="1:6" ht="15" customHeight="1" x14ac:dyDescent="0.2">
      <c r="B50" s="28" t="s">
        <v>203</v>
      </c>
      <c r="C50" s="44">
        <f>AVERAGE(B47:E48)</f>
        <v>63750</v>
      </c>
      <c r="D50" s="28" t="s">
        <v>204</v>
      </c>
      <c r="E50" s="44">
        <f>MEDIAN(B47:E48)</f>
        <v>47500</v>
      </c>
    </row>
    <row r="51" spans="1:6" ht="23.25" customHeight="1" x14ac:dyDescent="0.2">
      <c r="A51" s="4" t="s">
        <v>205</v>
      </c>
      <c r="B51" s="4"/>
      <c r="C51" s="4"/>
      <c r="D51" s="4"/>
      <c r="E51" s="4"/>
      <c r="F51" s="4"/>
    </row>
  </sheetData>
  <mergeCells count="11">
    <mergeCell ref="A51:F51"/>
    <mergeCell ref="A29:F29"/>
    <mergeCell ref="A31:F31"/>
    <mergeCell ref="A37:F37"/>
    <mergeCell ref="A44:F44"/>
    <mergeCell ref="A45:F45"/>
    <mergeCell ref="A1:F1"/>
    <mergeCell ref="A2:F2"/>
    <mergeCell ref="A4:F4"/>
    <mergeCell ref="A5:F5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"/>
  <sheetViews>
    <sheetView zoomScaleNormal="100" workbookViewId="0">
      <selection activeCell="K51" sqref="K51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5" width="16" customWidth="1"/>
    <col min="6" max="6" width="22" customWidth="1"/>
    <col min="7" max="7" width="3" customWidth="1"/>
  </cols>
  <sheetData>
    <row r="1" spans="1:6" ht="30" customHeight="1" x14ac:dyDescent="0.2">
      <c r="A1" s="7" t="s">
        <v>206</v>
      </c>
      <c r="B1" s="7"/>
      <c r="C1" s="7"/>
      <c r="D1" s="7"/>
      <c r="E1" s="7"/>
      <c r="F1" s="7"/>
    </row>
    <row r="2" spans="1:6" ht="15" customHeight="1" x14ac:dyDescent="0.2">
      <c r="A2" s="6" t="s">
        <v>207</v>
      </c>
      <c r="B2" s="6"/>
      <c r="C2" s="6"/>
      <c r="D2" s="6"/>
      <c r="E2" s="6"/>
      <c r="F2" s="6"/>
    </row>
    <row r="4" spans="1:6" ht="21.75" customHeight="1" x14ac:dyDescent="0.2">
      <c r="A4" s="5" t="s">
        <v>208</v>
      </c>
      <c r="B4" s="5"/>
      <c r="C4" s="5"/>
      <c r="D4" s="5"/>
      <c r="E4" s="5"/>
      <c r="F4" s="5"/>
    </row>
    <row r="5" spans="1:6" ht="15" customHeight="1" x14ac:dyDescent="0.2">
      <c r="A5" s="3" t="s">
        <v>209</v>
      </c>
      <c r="B5" s="3"/>
      <c r="C5" s="3"/>
      <c r="D5" s="3"/>
      <c r="E5" s="3"/>
      <c r="F5" s="3"/>
    </row>
    <row r="6" spans="1:6" ht="26.25" customHeight="1" x14ac:dyDescent="0.2">
      <c r="B6" s="24" t="s">
        <v>210</v>
      </c>
      <c r="C6" s="24" t="s">
        <v>211</v>
      </c>
      <c r="D6" s="24" t="s">
        <v>212</v>
      </c>
      <c r="E6" s="24" t="s">
        <v>213</v>
      </c>
      <c r="F6" s="24" t="s">
        <v>149</v>
      </c>
    </row>
    <row r="7" spans="1:6" ht="15" customHeight="1" x14ac:dyDescent="0.2">
      <c r="B7" s="31">
        <v>1</v>
      </c>
      <c r="C7" s="45">
        <v>28</v>
      </c>
      <c r="D7" s="46">
        <f t="shared" ref="D7:D20" si="0">C7-AVERAGE($C$7:$C$20)</f>
        <v>-2.571428571428573</v>
      </c>
      <c r="E7" s="46">
        <f t="shared" ref="E7:E20" si="1">(C7-AVERAGE($C$7:$C$20))^2</f>
        <v>6.6122448979591919</v>
      </c>
    </row>
    <row r="8" spans="1:6" ht="15" customHeight="1" x14ac:dyDescent="0.2">
      <c r="B8" s="31">
        <v>2</v>
      </c>
      <c r="C8" s="45">
        <v>31</v>
      </c>
      <c r="D8" s="46">
        <f t="shared" si="0"/>
        <v>0.42857142857142705</v>
      </c>
      <c r="E8" s="46">
        <f t="shared" si="1"/>
        <v>0.18367346938775381</v>
      </c>
    </row>
    <row r="9" spans="1:6" ht="15" customHeight="1" x14ac:dyDescent="0.2">
      <c r="B9" s="31">
        <v>3</v>
      </c>
      <c r="C9" s="45">
        <v>24</v>
      </c>
      <c r="D9" s="46">
        <f t="shared" si="0"/>
        <v>-6.571428571428573</v>
      </c>
      <c r="E9" s="46">
        <f t="shared" si="1"/>
        <v>43.183673469387777</v>
      </c>
    </row>
    <row r="10" spans="1:6" ht="15" customHeight="1" x14ac:dyDescent="0.2">
      <c r="B10" s="31">
        <v>4</v>
      </c>
      <c r="C10" s="45">
        <v>35</v>
      </c>
      <c r="D10" s="46">
        <f t="shared" si="0"/>
        <v>4.428571428571427</v>
      </c>
      <c r="E10" s="46">
        <f t="shared" si="1"/>
        <v>19.612244897959169</v>
      </c>
    </row>
    <row r="11" spans="1:6" ht="15" customHeight="1" x14ac:dyDescent="0.2">
      <c r="B11" s="31">
        <v>5</v>
      </c>
      <c r="C11" s="45">
        <v>29</v>
      </c>
      <c r="D11" s="46">
        <f t="shared" si="0"/>
        <v>-1.571428571428573</v>
      </c>
      <c r="E11" s="46">
        <f t="shared" si="1"/>
        <v>2.4693877551020456</v>
      </c>
    </row>
    <row r="12" spans="1:6" ht="15" customHeight="1" x14ac:dyDescent="0.2">
      <c r="B12" s="31">
        <v>6</v>
      </c>
      <c r="C12" s="45">
        <v>33</v>
      </c>
      <c r="D12" s="46">
        <f t="shared" si="0"/>
        <v>2.428571428571427</v>
      </c>
      <c r="E12" s="46">
        <f t="shared" si="1"/>
        <v>5.8979591836734624</v>
      </c>
    </row>
    <row r="13" spans="1:6" ht="15" customHeight="1" x14ac:dyDescent="0.2">
      <c r="B13" s="31">
        <v>7</v>
      </c>
      <c r="C13" s="45">
        <v>27</v>
      </c>
      <c r="D13" s="46">
        <f t="shared" si="0"/>
        <v>-3.571428571428573</v>
      </c>
      <c r="E13" s="46">
        <f t="shared" si="1"/>
        <v>12.755102040816338</v>
      </c>
    </row>
    <row r="14" spans="1:6" ht="15" customHeight="1" x14ac:dyDescent="0.2">
      <c r="B14" s="31">
        <v>8</v>
      </c>
      <c r="C14" s="45">
        <v>36</v>
      </c>
      <c r="D14" s="46">
        <f t="shared" si="0"/>
        <v>5.428571428571427</v>
      </c>
      <c r="E14" s="46">
        <f t="shared" si="1"/>
        <v>29.469387755102023</v>
      </c>
    </row>
    <row r="15" spans="1:6" ht="15" customHeight="1" x14ac:dyDescent="0.2">
      <c r="B15" s="31">
        <v>9</v>
      </c>
      <c r="C15" s="45">
        <v>30</v>
      </c>
      <c r="D15" s="46">
        <f t="shared" si="0"/>
        <v>-0.57142857142857295</v>
      </c>
      <c r="E15" s="46">
        <f t="shared" si="1"/>
        <v>0.32653061224489971</v>
      </c>
    </row>
    <row r="16" spans="1:6" ht="15" customHeight="1" x14ac:dyDescent="0.2">
      <c r="B16" s="31">
        <v>10</v>
      </c>
      <c r="C16" s="45">
        <v>28</v>
      </c>
      <c r="D16" s="46">
        <f t="shared" si="0"/>
        <v>-2.571428571428573</v>
      </c>
      <c r="E16" s="46">
        <f t="shared" si="1"/>
        <v>6.6122448979591919</v>
      </c>
    </row>
    <row r="17" spans="1:6" ht="15" customHeight="1" x14ac:dyDescent="0.2">
      <c r="B17" s="31">
        <v>11</v>
      </c>
      <c r="C17" s="45">
        <v>41</v>
      </c>
      <c r="D17" s="46">
        <f t="shared" si="0"/>
        <v>10.428571428571427</v>
      </c>
      <c r="E17" s="46">
        <f t="shared" si="1"/>
        <v>108.7551020408163</v>
      </c>
    </row>
    <row r="18" spans="1:6" ht="15" customHeight="1" x14ac:dyDescent="0.2">
      <c r="B18" s="31">
        <v>12</v>
      </c>
      <c r="C18" s="45">
        <v>25</v>
      </c>
      <c r="D18" s="46">
        <f t="shared" si="0"/>
        <v>-5.571428571428573</v>
      </c>
      <c r="E18" s="46">
        <f t="shared" si="1"/>
        <v>31.040816326530628</v>
      </c>
    </row>
    <row r="19" spans="1:6" ht="15" customHeight="1" x14ac:dyDescent="0.2">
      <c r="B19" s="31">
        <v>13</v>
      </c>
      <c r="C19" s="45">
        <v>32</v>
      </c>
      <c r="D19" s="46">
        <f t="shared" si="0"/>
        <v>1.428571428571427</v>
      </c>
      <c r="E19" s="46">
        <f t="shared" si="1"/>
        <v>2.0408163265306078</v>
      </c>
    </row>
    <row r="20" spans="1:6" ht="15" customHeight="1" x14ac:dyDescent="0.2">
      <c r="B20" s="31">
        <v>14</v>
      </c>
      <c r="C20" s="45">
        <v>29</v>
      </c>
      <c r="D20" s="46">
        <f t="shared" si="0"/>
        <v>-1.571428571428573</v>
      </c>
      <c r="E20" s="46">
        <f t="shared" si="1"/>
        <v>2.4693877551020456</v>
      </c>
    </row>
    <row r="21" spans="1:6" ht="15" customHeight="1" x14ac:dyDescent="0.2">
      <c r="B21" s="40" t="s">
        <v>214</v>
      </c>
      <c r="D21" s="47">
        <f>SUM(D7:D20)</f>
        <v>-2.1316282072803006E-14</v>
      </c>
      <c r="E21" s="35" t="s">
        <v>215</v>
      </c>
    </row>
    <row r="22" spans="1:6" ht="15" customHeight="1" x14ac:dyDescent="0.2">
      <c r="B22" s="40" t="s">
        <v>216</v>
      </c>
      <c r="E22" s="47">
        <f>SUM(E7:E20)</f>
        <v>271.42857142857139</v>
      </c>
    </row>
    <row r="24" spans="1:6" ht="21.75" customHeight="1" x14ac:dyDescent="0.2">
      <c r="A24" s="5" t="s">
        <v>217</v>
      </c>
      <c r="B24" s="5"/>
      <c r="C24" s="5"/>
      <c r="D24" s="5"/>
      <c r="E24" s="5"/>
      <c r="F24" s="5"/>
    </row>
    <row r="25" spans="1:6" ht="15" customHeight="1" x14ac:dyDescent="0.2">
      <c r="B25" s="24" t="s">
        <v>151</v>
      </c>
      <c r="C25" s="24" t="s">
        <v>152</v>
      </c>
      <c r="D25" s="24" t="s">
        <v>218</v>
      </c>
      <c r="E25" s="24" t="s">
        <v>154</v>
      </c>
      <c r="F25" s="24" t="s">
        <v>219</v>
      </c>
    </row>
    <row r="26" spans="1:6" ht="15" customHeight="1" x14ac:dyDescent="0.2">
      <c r="B26" s="38" t="s">
        <v>220</v>
      </c>
      <c r="C26" s="26" t="s">
        <v>221</v>
      </c>
      <c r="D26" s="42">
        <f>MIN(C7:C20)</f>
        <v>24</v>
      </c>
      <c r="E26" s="39" t="s">
        <v>222</v>
      </c>
      <c r="F26" s="39" t="s">
        <v>223</v>
      </c>
    </row>
    <row r="27" spans="1:6" ht="15" customHeight="1" x14ac:dyDescent="0.2">
      <c r="B27" s="40" t="s">
        <v>224</v>
      </c>
      <c r="C27" s="26" t="s">
        <v>225</v>
      </c>
      <c r="D27" s="42">
        <f>MAX(C7:C20)</f>
        <v>41</v>
      </c>
      <c r="E27" s="39" t="s">
        <v>226</v>
      </c>
      <c r="F27" s="39" t="s">
        <v>227</v>
      </c>
    </row>
    <row r="28" spans="1:6" ht="27.75" customHeight="1" x14ac:dyDescent="0.2">
      <c r="B28" s="38" t="s">
        <v>228</v>
      </c>
      <c r="C28" s="26" t="s">
        <v>229</v>
      </c>
      <c r="D28" s="42">
        <f>MAX(C7:C20)-MIN(C7:C20)</f>
        <v>17</v>
      </c>
      <c r="E28" s="39" t="s">
        <v>230</v>
      </c>
      <c r="F28" s="39" t="s">
        <v>231</v>
      </c>
    </row>
    <row r="29" spans="1:6" ht="15" customHeight="1" x14ac:dyDescent="0.2">
      <c r="B29" s="40" t="s">
        <v>156</v>
      </c>
      <c r="C29" s="26" t="s">
        <v>232</v>
      </c>
      <c r="D29" s="42">
        <f>AVERAGE(C7:C20)</f>
        <v>30.571428571428573</v>
      </c>
      <c r="E29" s="39" t="s">
        <v>158</v>
      </c>
      <c r="F29" s="39" t="s">
        <v>233</v>
      </c>
    </row>
    <row r="30" spans="1:6" ht="27.75" customHeight="1" x14ac:dyDescent="0.2">
      <c r="B30" s="38" t="s">
        <v>234</v>
      </c>
      <c r="C30" s="26" t="s">
        <v>235</v>
      </c>
      <c r="D30" s="42">
        <f>E22/14</f>
        <v>19.387755102040813</v>
      </c>
      <c r="E30" s="39" t="s">
        <v>236</v>
      </c>
      <c r="F30" s="39" t="s">
        <v>237</v>
      </c>
    </row>
    <row r="31" spans="1:6" ht="27.75" customHeight="1" x14ac:dyDescent="0.2">
      <c r="B31" s="40" t="s">
        <v>238</v>
      </c>
      <c r="C31" s="26" t="s">
        <v>239</v>
      </c>
      <c r="D31" s="42">
        <f>SQRT(E22/14)</f>
        <v>4.403152859263554</v>
      </c>
      <c r="E31" s="39" t="s">
        <v>240</v>
      </c>
      <c r="F31" s="39" t="s">
        <v>241</v>
      </c>
    </row>
    <row r="32" spans="1:6" ht="15" customHeight="1" x14ac:dyDescent="0.2">
      <c r="B32" s="38" t="s">
        <v>242</v>
      </c>
      <c r="C32" s="26" t="s">
        <v>240</v>
      </c>
      <c r="D32" s="42">
        <f>STDEVP(C7:C20)</f>
        <v>4.4031528592635549</v>
      </c>
      <c r="E32" s="39"/>
      <c r="F32" s="39" t="s">
        <v>243</v>
      </c>
    </row>
    <row r="34" spans="1:6" ht="21.75" customHeight="1" x14ac:dyDescent="0.2">
      <c r="A34" s="5" t="s">
        <v>244</v>
      </c>
      <c r="B34" s="5"/>
      <c r="C34" s="5"/>
      <c r="D34" s="5"/>
      <c r="E34" s="5"/>
      <c r="F34" s="5"/>
    </row>
    <row r="35" spans="1:6" ht="15" customHeight="1" x14ac:dyDescent="0.2">
      <c r="B35" s="8" t="s">
        <v>245</v>
      </c>
      <c r="C35" s="8"/>
      <c r="D35" s="8"/>
      <c r="E35" s="8"/>
      <c r="F35" s="8"/>
    </row>
    <row r="36" spans="1:6" ht="15" customHeight="1" x14ac:dyDescent="0.2">
      <c r="B36" s="8" t="s">
        <v>246</v>
      </c>
      <c r="C36" s="8"/>
      <c r="D36" s="8"/>
      <c r="E36" s="8"/>
      <c r="F36" s="8"/>
    </row>
    <row r="37" spans="1:6" ht="15" customHeight="1" x14ac:dyDescent="0.2">
      <c r="B37" s="8" t="s">
        <v>247</v>
      </c>
      <c r="C37" s="8"/>
      <c r="D37" s="8"/>
      <c r="E37" s="8"/>
      <c r="F37" s="8"/>
    </row>
    <row r="38" spans="1:6" ht="15" customHeight="1" x14ac:dyDescent="0.2">
      <c r="B38" s="8" t="s">
        <v>248</v>
      </c>
      <c r="C38" s="8"/>
      <c r="D38" s="8"/>
      <c r="E38" s="8"/>
      <c r="F38" s="8"/>
    </row>
    <row r="39" spans="1:6" ht="15" customHeight="1" x14ac:dyDescent="0.2">
      <c r="B39" s="8" t="s">
        <v>249</v>
      </c>
      <c r="C39" s="8"/>
      <c r="D39" s="8"/>
      <c r="E39" s="8"/>
      <c r="F39" s="8"/>
    </row>
    <row r="41" spans="1:6" ht="21.75" customHeight="1" x14ac:dyDescent="0.2">
      <c r="A41" s="5" t="s">
        <v>250</v>
      </c>
      <c r="B41" s="5"/>
      <c r="C41" s="5"/>
      <c r="D41" s="5"/>
      <c r="E41" s="5"/>
      <c r="F41" s="5"/>
    </row>
    <row r="42" spans="1:6" ht="15" customHeight="1" x14ac:dyDescent="0.2">
      <c r="A42" s="3" t="s">
        <v>251</v>
      </c>
      <c r="B42" s="3"/>
      <c r="C42" s="3"/>
      <c r="D42" s="3"/>
      <c r="E42" s="3"/>
      <c r="F42" s="3"/>
    </row>
    <row r="43" spans="1:6" ht="35" customHeight="1" x14ac:dyDescent="0.2">
      <c r="B43" s="24" t="s">
        <v>252</v>
      </c>
      <c r="C43" s="24" t="s">
        <v>253</v>
      </c>
      <c r="D43" s="24" t="s">
        <v>254</v>
      </c>
      <c r="E43" s="24"/>
      <c r="F43" s="24"/>
    </row>
    <row r="44" spans="1:6" ht="15" customHeight="1" x14ac:dyDescent="0.2">
      <c r="B44" s="48">
        <v>58</v>
      </c>
      <c r="C44">
        <v>40</v>
      </c>
      <c r="D44" s="49"/>
    </row>
    <row r="45" spans="1:6" ht="15" customHeight="1" x14ac:dyDescent="0.2">
      <c r="B45" s="48">
        <v>62</v>
      </c>
      <c r="C45">
        <v>55</v>
      </c>
      <c r="D45" s="49"/>
    </row>
    <row r="46" spans="1:6" ht="15" customHeight="1" x14ac:dyDescent="0.2">
      <c r="B46" s="48">
        <v>67</v>
      </c>
      <c r="C46">
        <v>72</v>
      </c>
      <c r="D46" s="49"/>
    </row>
    <row r="47" spans="1:6" ht="15" customHeight="1" x14ac:dyDescent="0.2">
      <c r="B47" s="48">
        <v>64</v>
      </c>
      <c r="C47">
        <v>80</v>
      </c>
      <c r="D47" s="49"/>
    </row>
    <row r="48" spans="1:6" ht="15" customHeight="1" x14ac:dyDescent="0.2">
      <c r="B48" s="48">
        <v>70</v>
      </c>
      <c r="C48">
        <v>45</v>
      </c>
      <c r="D48" s="49"/>
    </row>
    <row r="49" spans="1:6" ht="15" customHeight="1" x14ac:dyDescent="0.2">
      <c r="B49">
        <v>63</v>
      </c>
      <c r="C49">
        <v>90</v>
      </c>
    </row>
    <row r="50" spans="1:6" ht="26.25" customHeight="1" x14ac:dyDescent="0.2">
      <c r="B50" s="24">
        <v>66</v>
      </c>
      <c r="C50" s="24">
        <v>50</v>
      </c>
      <c r="D50" s="24" t="s">
        <v>255</v>
      </c>
      <c r="E50" s="24" t="s">
        <v>256</v>
      </c>
      <c r="F50" s="24"/>
    </row>
    <row r="51" spans="1:6" ht="15" customHeight="1" x14ac:dyDescent="0.2">
      <c r="B51" s="28">
        <v>69</v>
      </c>
      <c r="C51" s="46">
        <f>AVERAGE(B44:B53)</f>
        <v>64.5</v>
      </c>
      <c r="D51" s="46">
        <f>AVERAGE(C44:C53)</f>
        <v>51.2</v>
      </c>
    </row>
    <row r="52" spans="1:6" ht="15" customHeight="1" x14ac:dyDescent="0.2">
      <c r="B52" s="28">
        <v>65</v>
      </c>
      <c r="C52" s="46">
        <f>MAX(B44:B53)-MIN(B44:B53)</f>
        <v>12</v>
      </c>
      <c r="D52" s="46">
        <f>MAX(C44:C53)-MIN(C44:C53)</f>
        <v>86.5</v>
      </c>
    </row>
    <row r="53" spans="1:6" ht="15" customHeight="1" x14ac:dyDescent="0.2">
      <c r="B53" s="28">
        <v>61</v>
      </c>
      <c r="C53" s="46">
        <f>STDEVP(B44:B53)</f>
        <v>3.5</v>
      </c>
      <c r="D53" s="46">
        <f>STDEVP(C44:C53)</f>
        <v>26.336476605650954</v>
      </c>
    </row>
    <row r="54" spans="1:6" ht="15" customHeight="1" x14ac:dyDescent="0.2">
      <c r="A54" s="4" t="s">
        <v>257</v>
      </c>
      <c r="B54" s="4"/>
      <c r="C54" s="4"/>
      <c r="D54" s="4"/>
      <c r="E54" s="4"/>
      <c r="F54" s="4"/>
    </row>
  </sheetData>
  <mergeCells count="14">
    <mergeCell ref="B39:F39"/>
    <mergeCell ref="A41:F41"/>
    <mergeCell ref="A42:F42"/>
    <mergeCell ref="A54:F54"/>
    <mergeCell ref="A34:F34"/>
    <mergeCell ref="B35:F35"/>
    <mergeCell ref="B36:F36"/>
    <mergeCell ref="B37:F37"/>
    <mergeCell ref="B38:F38"/>
    <mergeCell ref="A1:F1"/>
    <mergeCell ref="A2:F2"/>
    <mergeCell ref="A4:F4"/>
    <mergeCell ref="A5:F5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0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3" customWidth="1"/>
    <col min="2" max="2" width="28" customWidth="1"/>
    <col min="3" max="5" width="16" customWidth="1"/>
    <col min="6" max="6" width="22" customWidth="1"/>
    <col min="7" max="7" width="3" customWidth="1"/>
  </cols>
  <sheetData>
    <row r="1" spans="1:6" ht="30" customHeight="1" x14ac:dyDescent="0.2">
      <c r="A1" s="7" t="s">
        <v>258</v>
      </c>
      <c r="B1" s="7"/>
      <c r="C1" s="7"/>
      <c r="D1" s="7"/>
      <c r="E1" s="7"/>
      <c r="F1" s="7"/>
    </row>
    <row r="2" spans="1:6" ht="15" customHeight="1" x14ac:dyDescent="0.2">
      <c r="A2" s="6" t="s">
        <v>259</v>
      </c>
      <c r="B2" s="6"/>
      <c r="C2" s="6"/>
      <c r="D2" s="6"/>
      <c r="E2" s="6"/>
      <c r="F2" s="6"/>
    </row>
    <row r="4" spans="1:6" ht="21.75" customHeight="1" x14ac:dyDescent="0.2">
      <c r="A4" s="5" t="s">
        <v>260</v>
      </c>
      <c r="B4" s="5"/>
      <c r="C4" s="5"/>
      <c r="D4" s="5"/>
      <c r="E4" s="5"/>
      <c r="F4" s="5"/>
    </row>
    <row r="5" spans="1:6" ht="15" customHeight="1" x14ac:dyDescent="0.2">
      <c r="A5" s="3" t="s">
        <v>261</v>
      </c>
      <c r="B5" s="3"/>
      <c r="C5" s="3"/>
      <c r="D5" s="3"/>
      <c r="E5" s="3"/>
      <c r="F5" s="3"/>
    </row>
    <row r="6" spans="1:6" ht="15" customHeight="1" x14ac:dyDescent="0.2">
      <c r="B6" s="24" t="s">
        <v>262</v>
      </c>
      <c r="C6" s="24" t="s">
        <v>263</v>
      </c>
      <c r="D6" s="24" t="s">
        <v>264</v>
      </c>
      <c r="E6" s="24" t="s">
        <v>265</v>
      </c>
      <c r="F6" s="24" t="s">
        <v>149</v>
      </c>
    </row>
    <row r="7" spans="1:6" ht="15" customHeight="1" x14ac:dyDescent="0.2">
      <c r="B7" s="31">
        <v>1</v>
      </c>
      <c r="C7" s="41">
        <v>2</v>
      </c>
      <c r="D7" s="31">
        <v>1</v>
      </c>
      <c r="E7" s="48">
        <v>0</v>
      </c>
    </row>
    <row r="8" spans="1:6" ht="15" customHeight="1" x14ac:dyDescent="0.2">
      <c r="B8" s="31">
        <v>2</v>
      </c>
      <c r="C8" s="41">
        <v>5</v>
      </c>
      <c r="D8" s="31">
        <v>2</v>
      </c>
      <c r="E8" s="48">
        <v>1</v>
      </c>
    </row>
    <row r="9" spans="1:6" ht="15" customHeight="1" x14ac:dyDescent="0.2">
      <c r="B9" s="31">
        <v>3</v>
      </c>
      <c r="C9" s="41">
        <v>1</v>
      </c>
      <c r="D9" s="31">
        <v>3</v>
      </c>
      <c r="E9" s="48">
        <v>2</v>
      </c>
    </row>
    <row r="10" spans="1:6" ht="15" customHeight="1" x14ac:dyDescent="0.2">
      <c r="B10" s="31">
        <v>4</v>
      </c>
      <c r="C10" s="41">
        <v>8</v>
      </c>
      <c r="D10" s="31">
        <v>4</v>
      </c>
      <c r="E10" s="48">
        <v>2</v>
      </c>
    </row>
    <row r="11" spans="1:6" ht="15" customHeight="1" x14ac:dyDescent="0.2">
      <c r="B11" s="31">
        <v>5</v>
      </c>
      <c r="C11" s="41">
        <v>3</v>
      </c>
      <c r="D11" s="31">
        <v>5</v>
      </c>
      <c r="E11" s="48">
        <v>3</v>
      </c>
    </row>
    <row r="12" spans="1:6" ht="15" customHeight="1" x14ac:dyDescent="0.2">
      <c r="B12" s="31">
        <v>6</v>
      </c>
      <c r="C12" s="41">
        <v>6</v>
      </c>
      <c r="D12" s="31">
        <v>6</v>
      </c>
      <c r="E12" s="48">
        <v>3</v>
      </c>
    </row>
    <row r="13" spans="1:6" ht="15" customHeight="1" x14ac:dyDescent="0.2">
      <c r="B13" s="31">
        <v>7</v>
      </c>
      <c r="C13" s="41">
        <v>4</v>
      </c>
      <c r="D13" s="31">
        <v>7</v>
      </c>
      <c r="E13" s="48">
        <v>4</v>
      </c>
    </row>
    <row r="14" spans="1:6" ht="15" customHeight="1" x14ac:dyDescent="0.2">
      <c r="B14" s="31">
        <v>8</v>
      </c>
      <c r="C14" s="41">
        <v>7</v>
      </c>
      <c r="D14" s="31">
        <v>8</v>
      </c>
      <c r="E14" s="48">
        <v>4</v>
      </c>
    </row>
    <row r="15" spans="1:6" ht="15" customHeight="1" x14ac:dyDescent="0.2">
      <c r="B15" s="31">
        <v>9</v>
      </c>
      <c r="C15" s="41">
        <v>9</v>
      </c>
      <c r="D15" s="31">
        <v>9</v>
      </c>
      <c r="E15" s="48">
        <v>4</v>
      </c>
    </row>
    <row r="16" spans="1:6" ht="15" customHeight="1" x14ac:dyDescent="0.2">
      <c r="B16" s="31">
        <v>10</v>
      </c>
      <c r="C16" s="41">
        <v>2</v>
      </c>
      <c r="D16" s="31">
        <v>10</v>
      </c>
      <c r="E16" s="48">
        <v>5</v>
      </c>
    </row>
    <row r="17" spans="1:6" ht="15" customHeight="1" x14ac:dyDescent="0.2">
      <c r="B17" s="31">
        <v>11</v>
      </c>
      <c r="C17" s="41">
        <v>11</v>
      </c>
      <c r="D17" s="31">
        <v>11</v>
      </c>
      <c r="E17" s="48">
        <v>5</v>
      </c>
    </row>
    <row r="18" spans="1:6" ht="15" customHeight="1" x14ac:dyDescent="0.2">
      <c r="B18" s="31">
        <v>12</v>
      </c>
      <c r="C18" s="41">
        <v>4</v>
      </c>
      <c r="D18" s="31">
        <v>12</v>
      </c>
      <c r="E18" s="48">
        <v>5</v>
      </c>
    </row>
    <row r="19" spans="1:6" ht="15" customHeight="1" x14ac:dyDescent="0.2">
      <c r="B19" s="31">
        <v>13</v>
      </c>
      <c r="C19" s="41">
        <v>6</v>
      </c>
      <c r="D19" s="31">
        <v>13</v>
      </c>
      <c r="E19" s="48">
        <v>6</v>
      </c>
    </row>
    <row r="20" spans="1:6" ht="15" customHeight="1" x14ac:dyDescent="0.2">
      <c r="B20" s="31">
        <v>14</v>
      </c>
      <c r="C20" s="41">
        <v>3</v>
      </c>
      <c r="D20" s="31">
        <v>14</v>
      </c>
      <c r="E20" s="48">
        <v>6</v>
      </c>
    </row>
    <row r="21" spans="1:6" ht="15" customHeight="1" x14ac:dyDescent="0.2">
      <c r="B21" s="31">
        <v>15</v>
      </c>
      <c r="C21" s="41">
        <v>5</v>
      </c>
      <c r="D21" s="31">
        <v>15</v>
      </c>
      <c r="E21" s="48">
        <v>7</v>
      </c>
    </row>
    <row r="22" spans="1:6" ht="15" customHeight="1" x14ac:dyDescent="0.2">
      <c r="B22" s="31">
        <v>16</v>
      </c>
      <c r="C22" s="41">
        <v>7</v>
      </c>
      <c r="D22" s="31">
        <v>16</v>
      </c>
      <c r="E22" s="48">
        <v>7</v>
      </c>
    </row>
    <row r="23" spans="1:6" ht="15" customHeight="1" x14ac:dyDescent="0.2">
      <c r="B23" s="31">
        <v>17</v>
      </c>
      <c r="C23" s="41">
        <v>0</v>
      </c>
      <c r="D23" s="31">
        <v>17</v>
      </c>
      <c r="E23" s="48">
        <v>8</v>
      </c>
    </row>
    <row r="24" spans="1:6" ht="15" customHeight="1" x14ac:dyDescent="0.2">
      <c r="B24" s="31">
        <v>18</v>
      </c>
      <c r="C24" s="41">
        <v>5</v>
      </c>
      <c r="D24" s="31">
        <v>18</v>
      </c>
      <c r="E24" s="48">
        <v>9</v>
      </c>
    </row>
    <row r="25" spans="1:6" ht="15" customHeight="1" x14ac:dyDescent="0.2">
      <c r="B25" s="31">
        <v>19</v>
      </c>
      <c r="C25" s="41">
        <v>4</v>
      </c>
      <c r="D25" s="31">
        <v>19</v>
      </c>
      <c r="E25" s="48">
        <v>11</v>
      </c>
    </row>
    <row r="26" spans="1:6" ht="15" customHeight="1" x14ac:dyDescent="0.2">
      <c r="B26" s="31">
        <v>20</v>
      </c>
      <c r="C26" s="41">
        <v>18</v>
      </c>
      <c r="D26" s="31">
        <v>20</v>
      </c>
      <c r="E26" s="48">
        <v>18</v>
      </c>
    </row>
    <row r="28" spans="1:6" ht="21.75" customHeight="1" x14ac:dyDescent="0.2">
      <c r="A28" s="5" t="s">
        <v>266</v>
      </c>
      <c r="B28" s="5"/>
      <c r="C28" s="5"/>
      <c r="D28" s="5"/>
      <c r="E28" s="5"/>
      <c r="F28" s="5"/>
    </row>
    <row r="29" spans="1:6" ht="15" customHeight="1" x14ac:dyDescent="0.2">
      <c r="B29" s="24" t="s">
        <v>267</v>
      </c>
      <c r="C29" s="24" t="s">
        <v>268</v>
      </c>
      <c r="D29" s="24" t="s">
        <v>269</v>
      </c>
      <c r="E29" s="24" t="s">
        <v>154</v>
      </c>
      <c r="F29" s="24" t="s">
        <v>187</v>
      </c>
    </row>
    <row r="30" spans="1:6" ht="15" customHeight="1" x14ac:dyDescent="0.2">
      <c r="B30" s="25" t="s">
        <v>220</v>
      </c>
      <c r="C30" s="28" t="s">
        <v>270</v>
      </c>
      <c r="D30" s="50">
        <f>MIN(C7:C26)</f>
        <v>0</v>
      </c>
      <c r="E30" s="39" t="s">
        <v>222</v>
      </c>
      <c r="F30" s="39" t="s">
        <v>271</v>
      </c>
    </row>
    <row r="31" spans="1:6" ht="27.75" customHeight="1" x14ac:dyDescent="0.2">
      <c r="B31" s="25" t="s">
        <v>272</v>
      </c>
      <c r="C31" s="28" t="s">
        <v>273</v>
      </c>
      <c r="D31" s="50">
        <f>QUARTILE(C7:C26,1)</f>
        <v>3</v>
      </c>
      <c r="E31" s="39" t="s">
        <v>274</v>
      </c>
      <c r="F31" s="39" t="s">
        <v>275</v>
      </c>
    </row>
    <row r="32" spans="1:6" ht="27.75" customHeight="1" x14ac:dyDescent="0.2">
      <c r="B32" s="25" t="s">
        <v>160</v>
      </c>
      <c r="C32" s="28" t="s">
        <v>276</v>
      </c>
      <c r="D32" s="50">
        <f>MEDIAN(C7:C26)</f>
        <v>5</v>
      </c>
      <c r="E32" s="39" t="s">
        <v>162</v>
      </c>
      <c r="F32" s="39" t="s">
        <v>277</v>
      </c>
    </row>
    <row r="33" spans="1:6" ht="27.75" customHeight="1" x14ac:dyDescent="0.2">
      <c r="B33" s="25" t="s">
        <v>278</v>
      </c>
      <c r="C33" s="28" t="s">
        <v>279</v>
      </c>
      <c r="D33" s="50">
        <f>QUARTILE(C7:C26,3)</f>
        <v>7</v>
      </c>
      <c r="E33" s="39" t="s">
        <v>280</v>
      </c>
      <c r="F33" s="39" t="s">
        <v>281</v>
      </c>
    </row>
    <row r="34" spans="1:6" ht="15" customHeight="1" x14ac:dyDescent="0.2">
      <c r="B34" s="25" t="s">
        <v>224</v>
      </c>
      <c r="C34" s="28" t="s">
        <v>282</v>
      </c>
      <c r="D34" s="50">
        <f>MAX(C7:C26)</f>
        <v>18</v>
      </c>
      <c r="E34" s="39" t="s">
        <v>226</v>
      </c>
      <c r="F34" s="39" t="s">
        <v>283</v>
      </c>
    </row>
    <row r="36" spans="1:6" ht="21.75" customHeight="1" x14ac:dyDescent="0.2">
      <c r="A36" s="5" t="s">
        <v>284</v>
      </c>
      <c r="B36" s="5"/>
      <c r="C36" s="5"/>
      <c r="D36" s="5"/>
      <c r="E36" s="5"/>
      <c r="F36" s="5"/>
    </row>
    <row r="37" spans="1:6" ht="15" customHeight="1" x14ac:dyDescent="0.2">
      <c r="B37" s="24" t="s">
        <v>285</v>
      </c>
      <c r="C37" s="24" t="s">
        <v>152</v>
      </c>
      <c r="D37" s="24" t="s">
        <v>218</v>
      </c>
      <c r="E37" s="24"/>
      <c r="F37" s="24"/>
    </row>
    <row r="38" spans="1:6" ht="15" customHeight="1" x14ac:dyDescent="0.2">
      <c r="B38" s="28" t="s">
        <v>286</v>
      </c>
      <c r="D38" s="50">
        <f>D33-D31</f>
        <v>4</v>
      </c>
    </row>
    <row r="39" spans="1:6" ht="26.25" customHeight="1" x14ac:dyDescent="0.2">
      <c r="B39" s="28" t="s">
        <v>287</v>
      </c>
      <c r="D39" s="51">
        <f>D31-1.5*(D33-D31)</f>
        <v>-3</v>
      </c>
    </row>
    <row r="40" spans="1:6" ht="15" customHeight="1" x14ac:dyDescent="0.2">
      <c r="B40" s="28" t="s">
        <v>288</v>
      </c>
      <c r="D40" s="51">
        <f>D33+1.5*(D33-D31)</f>
        <v>13</v>
      </c>
    </row>
    <row r="41" spans="1:6" ht="26.25" customHeight="1" x14ac:dyDescent="0.2">
      <c r="B41" s="52" t="s">
        <v>289</v>
      </c>
      <c r="D41" s="53" t="str">
        <f>IF(MIN(C7:C26)&lt;D39,"YES – check Min value","No low outliers")</f>
        <v>No low outliers</v>
      </c>
    </row>
    <row r="42" spans="1:6" ht="26.25" customHeight="1" x14ac:dyDescent="0.2">
      <c r="B42" s="52" t="s">
        <v>290</v>
      </c>
      <c r="D42" s="53" t="str">
        <f>IF(MAX(C7:C26)&gt;D40,"YES – check Max value","No high outliers")</f>
        <v>YES – check Max value</v>
      </c>
    </row>
    <row r="44" spans="1:6" ht="21.75" customHeight="1" x14ac:dyDescent="0.2">
      <c r="A44" s="5" t="s">
        <v>291</v>
      </c>
      <c r="B44" s="5"/>
      <c r="C44" s="5"/>
      <c r="D44" s="5"/>
      <c r="E44" s="5"/>
      <c r="F44" s="5"/>
    </row>
    <row r="45" spans="1:6" ht="15" customHeight="1" x14ac:dyDescent="0.2">
      <c r="A45" s="4" t="s">
        <v>292</v>
      </c>
      <c r="B45" s="4"/>
      <c r="C45" s="4"/>
      <c r="D45" s="4"/>
      <c r="E45" s="4"/>
      <c r="F45" s="4"/>
    </row>
    <row r="46" spans="1:6" ht="26.25" customHeight="1" x14ac:dyDescent="0.2">
      <c r="B46" s="24" t="s">
        <v>151</v>
      </c>
      <c r="C46" s="24" t="s">
        <v>293</v>
      </c>
      <c r="D46" s="24" t="s">
        <v>294</v>
      </c>
      <c r="E46" s="24" t="s">
        <v>295</v>
      </c>
      <c r="F46" s="24" t="s">
        <v>296</v>
      </c>
    </row>
    <row r="47" spans="1:6" ht="15" customHeight="1" x14ac:dyDescent="0.2">
      <c r="B47" s="28" t="s">
        <v>156</v>
      </c>
      <c r="C47" s="46">
        <f>AVERAGE(C7:C26)</f>
        <v>5.5</v>
      </c>
      <c r="D47" s="54">
        <v>4.8499999999999996</v>
      </c>
      <c r="F47" s="39" t="s">
        <v>297</v>
      </c>
    </row>
    <row r="48" spans="1:6" ht="15" customHeight="1" x14ac:dyDescent="0.2">
      <c r="B48" s="28" t="s">
        <v>160</v>
      </c>
      <c r="C48" s="46">
        <f>MEDIAN(C7:C26)</f>
        <v>5</v>
      </c>
      <c r="D48" s="54">
        <v>5</v>
      </c>
      <c r="F48" s="39" t="s">
        <v>298</v>
      </c>
    </row>
    <row r="49" spans="1:6" ht="15" customHeight="1" x14ac:dyDescent="0.2">
      <c r="B49" s="28" t="s">
        <v>299</v>
      </c>
      <c r="C49" s="46">
        <f>STDEVP(C7:C26)</f>
        <v>3.905124837953327</v>
      </c>
      <c r="D49" s="54">
        <v>0</v>
      </c>
      <c r="F49" s="39" t="s">
        <v>300</v>
      </c>
    </row>
    <row r="50" spans="1:6" ht="15" customHeight="1" x14ac:dyDescent="0.2">
      <c r="A50" s="4" t="s">
        <v>301</v>
      </c>
      <c r="B50" s="4"/>
      <c r="C50" s="4"/>
      <c r="D50" s="4"/>
      <c r="E50" s="4"/>
      <c r="F50" s="4"/>
    </row>
  </sheetData>
  <mergeCells count="9">
    <mergeCell ref="A36:F36"/>
    <mergeCell ref="A44:F44"/>
    <mergeCell ref="A45:F45"/>
    <mergeCell ref="A50:F50"/>
    <mergeCell ref="A1:F1"/>
    <mergeCell ref="A2:F2"/>
    <mergeCell ref="A4:F4"/>
    <mergeCell ref="A5:F5"/>
    <mergeCell ref="A28:F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2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3" customWidth="1"/>
    <col min="2" max="2" width="16" customWidth="1"/>
    <col min="3" max="8" width="14" customWidth="1"/>
    <col min="9" max="9" width="3" customWidth="1"/>
  </cols>
  <sheetData>
    <row r="1" spans="1:8" ht="30" customHeight="1" x14ac:dyDescent="0.2">
      <c r="A1" s="7" t="s">
        <v>302</v>
      </c>
      <c r="B1" s="7"/>
      <c r="C1" s="7"/>
      <c r="D1" s="7"/>
      <c r="E1" s="7"/>
      <c r="F1" s="7"/>
      <c r="G1" s="7"/>
      <c r="H1" s="7"/>
    </row>
    <row r="2" spans="1:8" ht="15" customHeight="1" x14ac:dyDescent="0.2">
      <c r="A2" s="6" t="s">
        <v>303</v>
      </c>
      <c r="B2" s="6"/>
      <c r="C2" s="6"/>
      <c r="D2" s="6"/>
      <c r="E2" s="6"/>
      <c r="F2" s="6"/>
      <c r="G2" s="6"/>
      <c r="H2" s="6"/>
    </row>
    <row r="4" spans="1:8" ht="21.75" customHeight="1" x14ac:dyDescent="0.2">
      <c r="A4" s="5" t="s">
        <v>304</v>
      </c>
      <c r="B4" s="5"/>
      <c r="C4" s="5"/>
      <c r="D4" s="5"/>
      <c r="E4" s="5"/>
      <c r="F4" s="5"/>
      <c r="G4" s="5"/>
      <c r="H4" s="5"/>
    </row>
    <row r="5" spans="1:8" ht="15" customHeight="1" x14ac:dyDescent="0.2">
      <c r="B5" s="24" t="s">
        <v>210</v>
      </c>
      <c r="C5" s="24" t="s">
        <v>305</v>
      </c>
      <c r="D5" s="24" t="s">
        <v>306</v>
      </c>
      <c r="E5" s="24" t="s">
        <v>307</v>
      </c>
      <c r="F5" s="24" t="s">
        <v>308</v>
      </c>
      <c r="G5" s="24" t="s">
        <v>309</v>
      </c>
      <c r="H5" s="24"/>
    </row>
    <row r="6" spans="1:8" ht="15" customHeight="1" x14ac:dyDescent="0.2">
      <c r="B6" s="31">
        <v>1</v>
      </c>
      <c r="C6" s="45">
        <v>17</v>
      </c>
      <c r="D6" s="55">
        <v>9</v>
      </c>
      <c r="E6" s="56">
        <v>0</v>
      </c>
      <c r="F6" s="31">
        <v>4</v>
      </c>
      <c r="G6" s="31">
        <v>25</v>
      </c>
    </row>
    <row r="7" spans="1:8" ht="15" customHeight="1" x14ac:dyDescent="0.2">
      <c r="B7" s="31">
        <v>2</v>
      </c>
      <c r="C7" s="45">
        <v>18</v>
      </c>
      <c r="D7" s="55">
        <v>10</v>
      </c>
      <c r="E7" s="56">
        <v>0</v>
      </c>
      <c r="F7" s="31">
        <v>5</v>
      </c>
      <c r="G7" s="31">
        <v>30</v>
      </c>
    </row>
    <row r="8" spans="1:8" ht="15" customHeight="1" x14ac:dyDescent="0.2">
      <c r="B8" s="31">
        <v>3</v>
      </c>
      <c r="C8" s="45">
        <v>16</v>
      </c>
      <c r="D8" s="55">
        <v>8</v>
      </c>
      <c r="E8" s="56">
        <v>2</v>
      </c>
      <c r="F8" s="31">
        <v>3</v>
      </c>
      <c r="G8" s="31">
        <v>20</v>
      </c>
    </row>
    <row r="9" spans="1:8" ht="15" customHeight="1" x14ac:dyDescent="0.2">
      <c r="B9" s="31">
        <v>4</v>
      </c>
      <c r="C9" s="45">
        <v>14</v>
      </c>
      <c r="D9" s="55">
        <v>7</v>
      </c>
      <c r="E9" s="56">
        <v>8</v>
      </c>
      <c r="F9" s="31">
        <v>2</v>
      </c>
      <c r="G9" s="31">
        <v>35</v>
      </c>
    </row>
    <row r="10" spans="1:8" ht="15" customHeight="1" x14ac:dyDescent="0.2">
      <c r="B10" s="31">
        <v>5</v>
      </c>
      <c r="C10" s="45">
        <v>15</v>
      </c>
      <c r="D10" s="55">
        <v>9</v>
      </c>
      <c r="E10" s="56">
        <v>4</v>
      </c>
      <c r="F10" s="31">
        <v>2</v>
      </c>
      <c r="G10" s="31">
        <v>28</v>
      </c>
    </row>
    <row r="11" spans="1:8" ht="15" customHeight="1" x14ac:dyDescent="0.2">
      <c r="B11" s="31">
        <v>6</v>
      </c>
      <c r="C11" s="45">
        <v>19</v>
      </c>
      <c r="D11" s="55">
        <v>11</v>
      </c>
      <c r="E11" s="56">
        <v>0</v>
      </c>
      <c r="F11" s="31">
        <v>5</v>
      </c>
      <c r="G11" s="31">
        <v>22</v>
      </c>
    </row>
    <row r="12" spans="1:8" ht="15" customHeight="1" x14ac:dyDescent="0.2">
      <c r="B12" s="31">
        <v>7</v>
      </c>
      <c r="C12" s="45">
        <v>20</v>
      </c>
      <c r="D12" s="55">
        <v>12</v>
      </c>
      <c r="E12" s="56">
        <v>0</v>
      </c>
      <c r="F12" s="31">
        <v>6</v>
      </c>
      <c r="G12" s="31">
        <v>18</v>
      </c>
    </row>
    <row r="13" spans="1:8" ht="15" customHeight="1" x14ac:dyDescent="0.2">
      <c r="B13" s="31">
        <v>8</v>
      </c>
      <c r="C13" s="45">
        <v>18</v>
      </c>
      <c r="D13" s="55">
        <v>10</v>
      </c>
      <c r="E13" s="56">
        <v>0</v>
      </c>
      <c r="F13" s="31">
        <v>5</v>
      </c>
      <c r="G13" s="31">
        <v>25</v>
      </c>
    </row>
    <row r="14" spans="1:8" ht="15" customHeight="1" x14ac:dyDescent="0.2">
      <c r="B14" s="31">
        <v>9</v>
      </c>
      <c r="C14" s="45">
        <v>17</v>
      </c>
      <c r="D14" s="55">
        <v>9</v>
      </c>
      <c r="E14" s="56">
        <v>1</v>
      </c>
      <c r="F14" s="31">
        <v>4</v>
      </c>
      <c r="G14" s="31">
        <v>30</v>
      </c>
    </row>
    <row r="15" spans="1:8" ht="15" customHeight="1" x14ac:dyDescent="0.2">
      <c r="B15" s="31">
        <v>10</v>
      </c>
      <c r="C15" s="45">
        <v>16</v>
      </c>
      <c r="D15" s="55">
        <v>8</v>
      </c>
      <c r="E15" s="56">
        <v>5</v>
      </c>
      <c r="F15" s="31">
        <v>3</v>
      </c>
      <c r="G15" s="31">
        <v>35</v>
      </c>
    </row>
    <row r="16" spans="1:8" ht="15" customHeight="1" x14ac:dyDescent="0.2">
      <c r="B16" s="31">
        <v>11</v>
      </c>
      <c r="C16" s="45">
        <v>15</v>
      </c>
      <c r="D16" s="55">
        <v>7</v>
      </c>
      <c r="E16" s="56">
        <v>10</v>
      </c>
      <c r="F16" s="31">
        <v>2</v>
      </c>
      <c r="G16" s="31">
        <v>40</v>
      </c>
    </row>
    <row r="17" spans="2:7" ht="15" customHeight="1" x14ac:dyDescent="0.2">
      <c r="B17" s="31">
        <v>12</v>
      </c>
      <c r="C17" s="45">
        <v>14</v>
      </c>
      <c r="D17" s="55">
        <v>6</v>
      </c>
      <c r="E17" s="56">
        <v>12</v>
      </c>
      <c r="F17" s="31">
        <v>1</v>
      </c>
      <c r="G17" s="31">
        <v>38</v>
      </c>
    </row>
    <row r="18" spans="2:7" ht="15" customHeight="1" x14ac:dyDescent="0.2">
      <c r="B18" s="31">
        <v>13</v>
      </c>
      <c r="C18" s="45">
        <v>16</v>
      </c>
      <c r="D18" s="55">
        <v>8</v>
      </c>
      <c r="E18" s="56">
        <v>3</v>
      </c>
      <c r="F18" s="31">
        <v>3</v>
      </c>
      <c r="G18" s="31">
        <v>25</v>
      </c>
    </row>
    <row r="19" spans="2:7" ht="15" customHeight="1" x14ac:dyDescent="0.2">
      <c r="B19" s="31">
        <v>14</v>
      </c>
      <c r="C19" s="45">
        <v>18</v>
      </c>
      <c r="D19" s="55">
        <v>10</v>
      </c>
      <c r="E19" s="56">
        <v>0</v>
      </c>
      <c r="F19" s="31">
        <v>5</v>
      </c>
      <c r="G19" s="31">
        <v>20</v>
      </c>
    </row>
    <row r="20" spans="2:7" ht="15" customHeight="1" x14ac:dyDescent="0.2">
      <c r="B20" s="31">
        <v>15</v>
      </c>
      <c r="C20" s="45">
        <v>20</v>
      </c>
      <c r="D20" s="55">
        <v>12</v>
      </c>
      <c r="E20" s="56">
        <v>0</v>
      </c>
      <c r="F20" s="31">
        <v>6</v>
      </c>
      <c r="G20" s="31">
        <v>15</v>
      </c>
    </row>
    <row r="21" spans="2:7" ht="15" customHeight="1" x14ac:dyDescent="0.2">
      <c r="B21" s="31">
        <v>16</v>
      </c>
      <c r="C21" s="45">
        <v>21</v>
      </c>
      <c r="D21" s="55">
        <v>13</v>
      </c>
      <c r="E21" s="56">
        <v>0</v>
      </c>
      <c r="F21" s="31">
        <v>7</v>
      </c>
      <c r="G21" s="31">
        <v>18</v>
      </c>
    </row>
    <row r="22" spans="2:7" ht="15" customHeight="1" x14ac:dyDescent="0.2">
      <c r="B22" s="31">
        <v>17</v>
      </c>
      <c r="C22" s="45">
        <v>19</v>
      </c>
      <c r="D22" s="55">
        <v>11</v>
      </c>
      <c r="E22" s="56">
        <v>0</v>
      </c>
      <c r="F22" s="31">
        <v>6</v>
      </c>
      <c r="G22" s="31">
        <v>22</v>
      </c>
    </row>
    <row r="23" spans="2:7" ht="15" customHeight="1" x14ac:dyDescent="0.2">
      <c r="B23" s="31">
        <v>18</v>
      </c>
      <c r="C23" s="45">
        <v>17</v>
      </c>
      <c r="D23" s="55">
        <v>9</v>
      </c>
      <c r="E23" s="56">
        <v>2</v>
      </c>
      <c r="F23" s="31">
        <v>4</v>
      </c>
      <c r="G23" s="31">
        <v>28</v>
      </c>
    </row>
    <row r="24" spans="2:7" ht="15" customHeight="1" x14ac:dyDescent="0.2">
      <c r="B24" s="31">
        <v>19</v>
      </c>
      <c r="C24" s="45">
        <v>16</v>
      </c>
      <c r="D24" s="55">
        <v>8</v>
      </c>
      <c r="E24" s="56">
        <v>6</v>
      </c>
      <c r="F24" s="31">
        <v>3</v>
      </c>
      <c r="G24" s="31">
        <v>32</v>
      </c>
    </row>
    <row r="25" spans="2:7" ht="15" customHeight="1" x14ac:dyDescent="0.2">
      <c r="B25" s="31">
        <v>20</v>
      </c>
      <c r="C25" s="45">
        <v>15</v>
      </c>
      <c r="D25" s="55">
        <v>7</v>
      </c>
      <c r="E25" s="56">
        <v>8</v>
      </c>
      <c r="F25" s="31">
        <v>2</v>
      </c>
      <c r="G25" s="31">
        <v>36</v>
      </c>
    </row>
    <row r="26" spans="2:7" ht="15" customHeight="1" x14ac:dyDescent="0.2">
      <c r="B26" s="31">
        <v>21</v>
      </c>
      <c r="C26" s="45">
        <v>17</v>
      </c>
      <c r="D26" s="55">
        <v>9</v>
      </c>
      <c r="E26" s="56">
        <v>1</v>
      </c>
      <c r="F26" s="31">
        <v>4</v>
      </c>
      <c r="G26" s="31">
        <v>25</v>
      </c>
    </row>
    <row r="27" spans="2:7" ht="15" customHeight="1" x14ac:dyDescent="0.2">
      <c r="B27" s="31">
        <v>22</v>
      </c>
      <c r="C27" s="45">
        <v>19</v>
      </c>
      <c r="D27" s="55">
        <v>11</v>
      </c>
      <c r="E27" s="56">
        <v>0</v>
      </c>
      <c r="F27" s="31">
        <v>5</v>
      </c>
      <c r="G27" s="31">
        <v>20</v>
      </c>
    </row>
    <row r="28" spans="2:7" ht="15" customHeight="1" x14ac:dyDescent="0.2">
      <c r="B28" s="31">
        <v>23</v>
      </c>
      <c r="C28" s="45">
        <v>20</v>
      </c>
      <c r="D28" s="55">
        <v>12</v>
      </c>
      <c r="E28" s="56">
        <v>0</v>
      </c>
      <c r="F28" s="31">
        <v>6</v>
      </c>
      <c r="G28" s="31">
        <v>18</v>
      </c>
    </row>
    <row r="29" spans="2:7" ht="15" customHeight="1" x14ac:dyDescent="0.2">
      <c r="B29" s="31">
        <v>24</v>
      </c>
      <c r="C29" s="45">
        <v>18</v>
      </c>
      <c r="D29" s="55">
        <v>10</v>
      </c>
      <c r="E29" s="56">
        <v>0</v>
      </c>
      <c r="F29" s="31">
        <v>5</v>
      </c>
      <c r="G29" s="31">
        <v>22</v>
      </c>
    </row>
    <row r="30" spans="2:7" ht="15" customHeight="1" x14ac:dyDescent="0.2">
      <c r="B30" s="31">
        <v>25</v>
      </c>
      <c r="C30" s="45">
        <v>22</v>
      </c>
      <c r="D30" s="55">
        <v>14</v>
      </c>
      <c r="E30" s="56">
        <v>0</v>
      </c>
      <c r="F30" s="31">
        <v>7</v>
      </c>
      <c r="G30" s="31">
        <v>15</v>
      </c>
    </row>
    <row r="31" spans="2:7" ht="15" customHeight="1" x14ac:dyDescent="0.2">
      <c r="B31" s="31">
        <v>26</v>
      </c>
      <c r="C31" s="45">
        <v>23</v>
      </c>
      <c r="D31" s="55">
        <v>15</v>
      </c>
      <c r="E31" s="56">
        <v>0</v>
      </c>
      <c r="F31" s="31">
        <v>8</v>
      </c>
      <c r="G31" s="31">
        <v>12</v>
      </c>
    </row>
    <row r="32" spans="2:7" ht="15" customHeight="1" x14ac:dyDescent="0.2">
      <c r="B32" s="31">
        <v>27</v>
      </c>
      <c r="C32" s="45">
        <v>21</v>
      </c>
      <c r="D32" s="55">
        <v>13</v>
      </c>
      <c r="E32" s="56">
        <v>0</v>
      </c>
      <c r="F32" s="31">
        <v>7</v>
      </c>
      <c r="G32" s="31">
        <v>16</v>
      </c>
    </row>
    <row r="33" spans="1:8" ht="15" customHeight="1" x14ac:dyDescent="0.2">
      <c r="B33" s="31">
        <v>28</v>
      </c>
      <c r="C33" s="45">
        <v>19</v>
      </c>
      <c r="D33" s="55">
        <v>11</v>
      </c>
      <c r="E33" s="56">
        <v>1</v>
      </c>
      <c r="F33" s="31">
        <v>5</v>
      </c>
      <c r="G33" s="31">
        <v>20</v>
      </c>
    </row>
    <row r="34" spans="1:8" ht="15" customHeight="1" x14ac:dyDescent="0.2">
      <c r="B34" s="31">
        <v>29</v>
      </c>
      <c r="C34" s="45">
        <v>18</v>
      </c>
      <c r="D34" s="55">
        <v>10</v>
      </c>
      <c r="E34" s="56">
        <v>3</v>
      </c>
      <c r="F34" s="31">
        <v>4</v>
      </c>
      <c r="G34" s="31">
        <v>25</v>
      </c>
    </row>
    <row r="35" spans="1:8" ht="15" customHeight="1" x14ac:dyDescent="0.2">
      <c r="B35" s="31">
        <v>30</v>
      </c>
      <c r="C35" s="45">
        <v>17</v>
      </c>
      <c r="D35" s="55">
        <v>9</v>
      </c>
      <c r="E35" s="56">
        <v>5</v>
      </c>
      <c r="F35" s="31">
        <v>3</v>
      </c>
      <c r="G35" s="31">
        <v>30</v>
      </c>
    </row>
    <row r="36" spans="1:8" ht="15" customHeight="1" x14ac:dyDescent="0.2">
      <c r="B36" s="31">
        <v>31</v>
      </c>
      <c r="C36" s="45">
        <v>16</v>
      </c>
      <c r="D36" s="55">
        <v>8</v>
      </c>
      <c r="E36" s="56">
        <v>7</v>
      </c>
      <c r="F36" s="31">
        <v>2</v>
      </c>
      <c r="G36" s="31">
        <v>35</v>
      </c>
    </row>
    <row r="38" spans="1:8" ht="21.75" customHeight="1" x14ac:dyDescent="0.2">
      <c r="A38" s="5" t="s">
        <v>310</v>
      </c>
      <c r="B38" s="5"/>
      <c r="C38" s="5"/>
      <c r="D38" s="5"/>
      <c r="E38" s="5"/>
      <c r="F38" s="5"/>
      <c r="G38" s="5"/>
      <c r="H38" s="5"/>
    </row>
    <row r="39" spans="1:8" ht="15" customHeight="1" x14ac:dyDescent="0.2">
      <c r="B39" s="24" t="s">
        <v>267</v>
      </c>
      <c r="C39" s="24" t="s">
        <v>311</v>
      </c>
      <c r="D39" s="24" t="s">
        <v>312</v>
      </c>
      <c r="E39" s="24" t="s">
        <v>313</v>
      </c>
      <c r="F39" s="24" t="s">
        <v>308</v>
      </c>
      <c r="G39" s="24" t="s">
        <v>309</v>
      </c>
      <c r="H39" s="24"/>
    </row>
    <row r="40" spans="1:8" ht="15" customHeight="1" x14ac:dyDescent="0.2">
      <c r="B40" s="38" t="s">
        <v>314</v>
      </c>
      <c r="C40" s="34">
        <f>COUNT(C6:C36)</f>
        <v>31</v>
      </c>
      <c r="D40" s="34">
        <f>COUNT(D6:D36)</f>
        <v>31</v>
      </c>
      <c r="E40" s="34">
        <f>COUNT(E6:E36)</f>
        <v>31</v>
      </c>
      <c r="F40" s="34">
        <f>COUNT(F6:F36)</f>
        <v>31</v>
      </c>
      <c r="G40" s="34">
        <f>COUNT(G6:G36)</f>
        <v>31</v>
      </c>
    </row>
    <row r="41" spans="1:8" ht="15" customHeight="1" x14ac:dyDescent="0.2">
      <c r="B41" s="40" t="s">
        <v>156</v>
      </c>
      <c r="C41" s="34">
        <f>AVERAGE(C6:C36)</f>
        <v>17.774193548387096</v>
      </c>
      <c r="D41" s="34">
        <f>AVERAGE(D6:D36)</f>
        <v>9.870967741935484</v>
      </c>
      <c r="E41" s="34">
        <f>AVERAGE(E6:E36)</f>
        <v>2.5161290322580645</v>
      </c>
      <c r="F41" s="34">
        <f>AVERAGE(F6:F36)</f>
        <v>4.32258064516129</v>
      </c>
      <c r="G41" s="34">
        <f>AVERAGE(G6:G36)</f>
        <v>25.161290322580644</v>
      </c>
    </row>
    <row r="42" spans="1:8" ht="15" customHeight="1" x14ac:dyDescent="0.2">
      <c r="B42" s="38" t="s">
        <v>160</v>
      </c>
      <c r="C42" s="34">
        <f>MEDIAN(C6:C36)</f>
        <v>18</v>
      </c>
      <c r="D42" s="34">
        <f>MEDIAN(D6:D36)</f>
        <v>10</v>
      </c>
      <c r="E42" s="34">
        <f>MEDIAN(E6:E36)</f>
        <v>1</v>
      </c>
      <c r="F42" s="34">
        <f>MEDIAN(F6:F36)</f>
        <v>4</v>
      </c>
      <c r="G42" s="34">
        <f>MEDIAN(G6:G36)</f>
        <v>25</v>
      </c>
    </row>
    <row r="43" spans="1:8" ht="15" customHeight="1" x14ac:dyDescent="0.2">
      <c r="B43" s="40" t="s">
        <v>164</v>
      </c>
      <c r="C43" s="34">
        <f>MODE(C6:C36)</f>
        <v>17</v>
      </c>
      <c r="D43" s="34">
        <f>MODE(D6:D36)</f>
        <v>9</v>
      </c>
      <c r="E43" s="34">
        <f>MODE(E6:E36)</f>
        <v>0</v>
      </c>
      <c r="F43" s="34">
        <f>MODE(F6:F36)</f>
        <v>5</v>
      </c>
      <c r="G43" s="34">
        <f>MODE(G6:G36)</f>
        <v>25</v>
      </c>
    </row>
    <row r="44" spans="1:8" ht="15" customHeight="1" x14ac:dyDescent="0.2">
      <c r="B44" s="38" t="s">
        <v>270</v>
      </c>
      <c r="C44" s="34">
        <f>MIN(C6:C36)</f>
        <v>14</v>
      </c>
      <c r="D44" s="34">
        <f>MIN(D6:D36)</f>
        <v>6</v>
      </c>
      <c r="E44" s="34">
        <f>MIN(E6:E36)</f>
        <v>0</v>
      </c>
      <c r="F44" s="34">
        <f>MIN(F6:F36)</f>
        <v>1</v>
      </c>
      <c r="G44" s="34">
        <f>MIN(G6:G36)</f>
        <v>12</v>
      </c>
    </row>
    <row r="45" spans="1:8" ht="15" customHeight="1" x14ac:dyDescent="0.2">
      <c r="B45" s="40" t="s">
        <v>282</v>
      </c>
      <c r="C45" s="34">
        <f>MAX(C6:C36)</f>
        <v>23</v>
      </c>
      <c r="D45" s="34">
        <f>MAX(D6:D36)</f>
        <v>15</v>
      </c>
      <c r="E45" s="34">
        <f>MAX(E6:E36)</f>
        <v>12</v>
      </c>
      <c r="F45" s="34">
        <f>MAX(F6:F36)</f>
        <v>8</v>
      </c>
      <c r="G45" s="34">
        <f>MAX(G6:G36)</f>
        <v>40</v>
      </c>
    </row>
    <row r="46" spans="1:8" ht="15" customHeight="1" x14ac:dyDescent="0.2">
      <c r="B46" s="38" t="s">
        <v>228</v>
      </c>
      <c r="C46" s="34">
        <f>MAX(C6:C36)-MIN(C6:C36)</f>
        <v>9</v>
      </c>
      <c r="D46" s="34">
        <f>MAX(D6:D36)-MIN(D6:D36)</f>
        <v>9</v>
      </c>
      <c r="E46" s="34">
        <f>MAX(E6:E36)-MIN(E6:E36)</f>
        <v>12</v>
      </c>
      <c r="F46" s="34">
        <f>MAX(F6:F36)-MIN(F6:F36)</f>
        <v>7</v>
      </c>
      <c r="G46" s="34">
        <f>MAX(G6:G36)-MIN(G6:G36)</f>
        <v>28</v>
      </c>
    </row>
    <row r="47" spans="1:8" ht="15" customHeight="1" x14ac:dyDescent="0.2">
      <c r="B47" s="40" t="s">
        <v>299</v>
      </c>
      <c r="C47" s="34">
        <f>STDEVP(C6:C36)</f>
        <v>2.2534515092352234</v>
      </c>
      <c r="D47" s="34">
        <f>STDEVP(D6:D36)</f>
        <v>2.1513976774881374</v>
      </c>
      <c r="E47" s="34">
        <f>STDEVP(E6:E36)</f>
        <v>3.3875575723419553</v>
      </c>
      <c r="F47" s="34">
        <f>STDEVP(F6:F36)</f>
        <v>1.7668469596940843</v>
      </c>
      <c r="G47" s="34">
        <f>STDEVP(G6:G36)</f>
        <v>7.362050793322112</v>
      </c>
    </row>
    <row r="48" spans="1:8" ht="15" customHeight="1" x14ac:dyDescent="0.2">
      <c r="B48" s="38" t="s">
        <v>273</v>
      </c>
      <c r="C48" s="34">
        <f>QUARTILE(C6:C36,1)</f>
        <v>16</v>
      </c>
      <c r="D48" s="34">
        <f>QUARTILE(D6:D36,1)</f>
        <v>8</v>
      </c>
      <c r="E48" s="34">
        <f>QUARTILE(E6:E36,1)</f>
        <v>0</v>
      </c>
      <c r="F48" s="34">
        <f>QUARTILE(F6:F36,1)</f>
        <v>3</v>
      </c>
      <c r="G48" s="34">
        <f>QUARTILE(G6:G36,1)</f>
        <v>20</v>
      </c>
    </row>
    <row r="49" spans="1:8" ht="15" customHeight="1" x14ac:dyDescent="0.2">
      <c r="B49" s="40" t="s">
        <v>279</v>
      </c>
      <c r="C49" s="34">
        <f>QUARTILE(C6:C36,3)</f>
        <v>19</v>
      </c>
      <c r="D49" s="34">
        <f>QUARTILE(D6:D36,3)</f>
        <v>11</v>
      </c>
      <c r="E49" s="34">
        <f>QUARTILE(E6:E36,3)</f>
        <v>4.5</v>
      </c>
      <c r="F49" s="34">
        <f>QUARTILE(F6:F36,3)</f>
        <v>5.5</v>
      </c>
      <c r="G49" s="34">
        <f>QUARTILE(G6:G36,3)</f>
        <v>30</v>
      </c>
    </row>
    <row r="50" spans="1:8" ht="15" customHeight="1" x14ac:dyDescent="0.2">
      <c r="B50" s="38" t="s">
        <v>315</v>
      </c>
      <c r="C50" s="34">
        <f>QUARTILE(C6:C36,3)-QUARTILE(C6:C36,1)</f>
        <v>3</v>
      </c>
      <c r="D50" s="34">
        <f>QUARTILE(D6:D36,3)-QUARTILE(D6:D36,1)</f>
        <v>3</v>
      </c>
      <c r="E50" s="34">
        <f>QUARTILE(E6:E36,3)-QUARTILE(E6:E36,1)</f>
        <v>4.5</v>
      </c>
      <c r="F50" s="34">
        <f>QUARTILE(F6:F36,3)-QUARTILE(F6:F36,1)</f>
        <v>2.5</v>
      </c>
      <c r="G50" s="34">
        <f>QUARTILE(G6:G36,3)-QUARTILE(G6:G36,1)</f>
        <v>10</v>
      </c>
    </row>
    <row r="52" spans="1:8" ht="21.75" customHeight="1" x14ac:dyDescent="0.2">
      <c r="A52" s="5" t="s">
        <v>316</v>
      </c>
      <c r="B52" s="5"/>
      <c r="C52" s="5"/>
      <c r="D52" s="5"/>
      <c r="E52" s="5"/>
      <c r="F52" s="5"/>
      <c r="G52" s="5"/>
      <c r="H52" s="5"/>
    </row>
    <row r="53" spans="1:8" ht="26.25" customHeight="1" x14ac:dyDescent="0.2">
      <c r="B53" s="8" t="s">
        <v>317</v>
      </c>
      <c r="C53" s="8"/>
      <c r="D53" s="8"/>
      <c r="E53" s="8"/>
      <c r="F53" s="8"/>
      <c r="G53" s="8"/>
    </row>
    <row r="54" spans="1:8" ht="15" customHeight="1" x14ac:dyDescent="0.2">
      <c r="B54" s="1"/>
      <c r="C54" s="1"/>
      <c r="D54" s="1"/>
      <c r="E54" s="1"/>
      <c r="F54" s="1"/>
      <c r="G54" s="1"/>
    </row>
    <row r="55" spans="1:8" ht="15" customHeight="1" x14ac:dyDescent="0.2">
      <c r="B55" s="8" t="s">
        <v>318</v>
      </c>
      <c r="C55" s="8"/>
      <c r="D55" s="8"/>
      <c r="E55" s="8"/>
      <c r="F55" s="8"/>
      <c r="G55" s="8"/>
    </row>
    <row r="56" spans="1:8" ht="15" customHeight="1" x14ac:dyDescent="0.2">
      <c r="B56" s="1"/>
      <c r="C56" s="1"/>
      <c r="D56" s="1"/>
      <c r="E56" s="1"/>
      <c r="F56" s="1"/>
      <c r="G56" s="1"/>
    </row>
    <row r="57" spans="1:8" ht="15" customHeight="1" x14ac:dyDescent="0.2">
      <c r="B57" s="8" t="s">
        <v>319</v>
      </c>
      <c r="C57" s="8"/>
      <c r="D57" s="8"/>
      <c r="E57" s="8"/>
      <c r="F57" s="8"/>
      <c r="G57" s="8"/>
    </row>
    <row r="58" spans="1:8" ht="15" customHeight="1" x14ac:dyDescent="0.2">
      <c r="B58" s="1"/>
      <c r="C58" s="1"/>
      <c r="D58" s="1"/>
      <c r="E58" s="1"/>
      <c r="F58" s="1"/>
      <c r="G58" s="1"/>
    </row>
    <row r="59" spans="1:8" ht="15" customHeight="1" x14ac:dyDescent="0.2">
      <c r="B59" s="8" t="s">
        <v>320</v>
      </c>
      <c r="C59" s="8"/>
      <c r="D59" s="8"/>
      <c r="E59" s="8"/>
      <c r="F59" s="8"/>
      <c r="G59" s="8"/>
    </row>
    <row r="60" spans="1:8" ht="15" customHeight="1" x14ac:dyDescent="0.2">
      <c r="B60" s="1"/>
      <c r="C60" s="1"/>
      <c r="D60" s="1"/>
      <c r="E60" s="1"/>
      <c r="F60" s="1"/>
      <c r="G60" s="1"/>
    </row>
    <row r="61" spans="1:8" ht="15" customHeight="1" x14ac:dyDescent="0.2">
      <c r="B61" s="8" t="s">
        <v>321</v>
      </c>
      <c r="C61" s="8"/>
      <c r="D61" s="8"/>
      <c r="E61" s="8"/>
      <c r="F61" s="8"/>
      <c r="G61" s="8"/>
    </row>
    <row r="62" spans="1:8" ht="15" customHeight="1" x14ac:dyDescent="0.2">
      <c r="B62" s="1"/>
      <c r="C62" s="1"/>
      <c r="D62" s="1"/>
      <c r="E62" s="1"/>
      <c r="F62" s="1"/>
      <c r="G62" s="1"/>
    </row>
  </sheetData>
  <mergeCells count="15">
    <mergeCell ref="B58:G58"/>
    <mergeCell ref="B59:G59"/>
    <mergeCell ref="B60:G60"/>
    <mergeCell ref="B61:G61"/>
    <mergeCell ref="B62:G62"/>
    <mergeCell ref="B53:G53"/>
    <mergeCell ref="B54:G54"/>
    <mergeCell ref="B55:G55"/>
    <mergeCell ref="B56:G56"/>
    <mergeCell ref="B57:G57"/>
    <mergeCell ref="A1:H1"/>
    <mergeCell ref="A2:H2"/>
    <mergeCell ref="A4:H4"/>
    <mergeCell ref="A38:H38"/>
    <mergeCell ref="A52:H5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tabSelected="1" zoomScaleNormal="100" workbookViewId="0">
      <selection activeCell="C44" sqref="C44"/>
    </sheetView>
  </sheetViews>
  <sheetFormatPr baseColWidth="10" defaultColWidth="8.6640625" defaultRowHeight="15" x14ac:dyDescent="0.2"/>
  <cols>
    <col min="1" max="1" width="3" customWidth="1"/>
    <col min="2" max="2" width="18" customWidth="1"/>
    <col min="3" max="8" width="14" customWidth="1"/>
    <col min="9" max="9" width="3" customWidth="1"/>
  </cols>
  <sheetData>
    <row r="1" spans="1:8" ht="30" customHeight="1" x14ac:dyDescent="0.2">
      <c r="A1" s="7" t="s">
        <v>322</v>
      </c>
      <c r="B1" s="7"/>
      <c r="C1" s="7"/>
      <c r="D1" s="7"/>
      <c r="E1" s="7"/>
      <c r="F1" s="7"/>
      <c r="G1" s="7"/>
      <c r="H1" s="7"/>
    </row>
    <row r="2" spans="1:8" ht="15" customHeight="1" x14ac:dyDescent="0.2">
      <c r="A2" s="6" t="s">
        <v>323</v>
      </c>
      <c r="B2" s="6"/>
      <c r="C2" s="6"/>
      <c r="D2" s="6"/>
      <c r="E2" s="6"/>
      <c r="F2" s="6"/>
      <c r="G2" s="6"/>
      <c r="H2" s="6"/>
    </row>
    <row r="4" spans="1:8" ht="21.75" customHeight="1" x14ac:dyDescent="0.2">
      <c r="A4" s="5" t="s">
        <v>324</v>
      </c>
      <c r="B4" s="5"/>
      <c r="C4" s="5"/>
      <c r="D4" s="5"/>
      <c r="E4" s="5"/>
      <c r="F4" s="5"/>
      <c r="G4" s="5"/>
      <c r="H4" s="5"/>
    </row>
    <row r="5" spans="1:8" ht="15" customHeight="1" x14ac:dyDescent="0.2">
      <c r="B5" s="24" t="s">
        <v>325</v>
      </c>
      <c r="C5" s="24" t="s">
        <v>326</v>
      </c>
      <c r="D5" s="24" t="s">
        <v>327</v>
      </c>
      <c r="E5" s="24" t="s">
        <v>328</v>
      </c>
      <c r="F5" s="24" t="s">
        <v>329</v>
      </c>
      <c r="G5" s="24" t="s">
        <v>330</v>
      </c>
      <c r="H5" s="24"/>
    </row>
    <row r="6" spans="1:8" ht="15" customHeight="1" x14ac:dyDescent="0.2">
      <c r="B6" s="26" t="s">
        <v>331</v>
      </c>
      <c r="C6" s="41">
        <v>120</v>
      </c>
      <c r="D6" s="41">
        <v>85</v>
      </c>
      <c r="E6" s="41">
        <v>200</v>
      </c>
      <c r="F6" s="41">
        <v>40</v>
      </c>
      <c r="G6" s="41">
        <v>310</v>
      </c>
    </row>
    <row r="7" spans="1:8" ht="15" customHeight="1" x14ac:dyDescent="0.2">
      <c r="B7" s="26" t="s">
        <v>332</v>
      </c>
      <c r="C7" s="41">
        <v>135</v>
      </c>
      <c r="D7" s="41">
        <v>90</v>
      </c>
      <c r="E7" s="41">
        <v>195</v>
      </c>
      <c r="F7" s="41">
        <v>38</v>
      </c>
      <c r="G7" s="41">
        <v>295</v>
      </c>
    </row>
    <row r="8" spans="1:8" ht="15" customHeight="1" x14ac:dyDescent="0.2">
      <c r="B8" s="26" t="s">
        <v>333</v>
      </c>
      <c r="C8" s="41">
        <v>110</v>
      </c>
      <c r="D8" s="41">
        <v>88</v>
      </c>
      <c r="E8" s="41">
        <v>210</v>
      </c>
      <c r="F8" s="41">
        <v>45</v>
      </c>
      <c r="G8" s="41">
        <v>320</v>
      </c>
    </row>
    <row r="9" spans="1:8" ht="15" customHeight="1" x14ac:dyDescent="0.2">
      <c r="B9" s="26" t="s">
        <v>334</v>
      </c>
      <c r="C9" s="41">
        <v>125</v>
      </c>
      <c r="D9" s="41">
        <v>92</v>
      </c>
      <c r="E9" s="41">
        <v>205</v>
      </c>
      <c r="F9" s="41">
        <v>42</v>
      </c>
      <c r="G9" s="41">
        <v>305</v>
      </c>
    </row>
    <row r="10" spans="1:8" ht="15" customHeight="1" x14ac:dyDescent="0.2">
      <c r="B10" s="26" t="s">
        <v>335</v>
      </c>
      <c r="C10" s="41">
        <v>140</v>
      </c>
      <c r="D10" s="41">
        <v>95</v>
      </c>
      <c r="E10" s="41">
        <v>215</v>
      </c>
      <c r="F10" s="41">
        <v>50</v>
      </c>
      <c r="G10" s="41">
        <v>330</v>
      </c>
    </row>
    <row r="11" spans="1:8" ht="15" customHeight="1" x14ac:dyDescent="0.2">
      <c r="B11" s="26" t="s">
        <v>336</v>
      </c>
      <c r="C11" s="41">
        <v>155</v>
      </c>
      <c r="D11" s="41">
        <v>100</v>
      </c>
      <c r="E11" s="41">
        <v>220</v>
      </c>
      <c r="F11" s="41">
        <v>48</v>
      </c>
      <c r="G11" s="41">
        <v>340</v>
      </c>
    </row>
    <row r="12" spans="1:8" ht="15" customHeight="1" x14ac:dyDescent="0.2">
      <c r="B12" s="26" t="s">
        <v>337</v>
      </c>
      <c r="C12" s="41">
        <v>160</v>
      </c>
      <c r="D12" s="41">
        <v>98</v>
      </c>
      <c r="E12" s="41">
        <v>225</v>
      </c>
      <c r="F12" s="41">
        <v>55</v>
      </c>
      <c r="G12" s="41">
        <v>360</v>
      </c>
    </row>
    <row r="13" spans="1:8" ht="15" customHeight="1" x14ac:dyDescent="0.2">
      <c r="B13" s="26" t="s">
        <v>338</v>
      </c>
      <c r="C13" s="41">
        <v>175</v>
      </c>
      <c r="D13" s="41">
        <v>102</v>
      </c>
      <c r="E13" s="41">
        <v>230</v>
      </c>
      <c r="F13" s="41">
        <v>52</v>
      </c>
      <c r="G13" s="41">
        <v>350</v>
      </c>
    </row>
    <row r="14" spans="1:8" ht="15" customHeight="1" x14ac:dyDescent="0.2">
      <c r="B14" s="26" t="s">
        <v>339</v>
      </c>
      <c r="C14" s="41">
        <v>145</v>
      </c>
      <c r="D14" s="41">
        <v>97</v>
      </c>
      <c r="E14" s="41">
        <v>218</v>
      </c>
      <c r="F14" s="41">
        <v>47</v>
      </c>
      <c r="G14" s="41">
        <v>335</v>
      </c>
    </row>
    <row r="15" spans="1:8" ht="15" customHeight="1" x14ac:dyDescent="0.2">
      <c r="B15" s="26" t="s">
        <v>340</v>
      </c>
      <c r="C15" s="41">
        <v>130</v>
      </c>
      <c r="D15" s="41">
        <v>94</v>
      </c>
      <c r="E15" s="41">
        <v>208</v>
      </c>
      <c r="F15" s="41">
        <v>44</v>
      </c>
      <c r="G15" s="41">
        <v>325</v>
      </c>
    </row>
    <row r="16" spans="1:8" ht="15" customHeight="1" x14ac:dyDescent="0.2">
      <c r="B16" s="26" t="s">
        <v>341</v>
      </c>
      <c r="C16" s="41">
        <v>115</v>
      </c>
      <c r="D16" s="41">
        <v>89</v>
      </c>
      <c r="E16" s="41">
        <v>202</v>
      </c>
      <c r="F16" s="41">
        <v>41</v>
      </c>
      <c r="G16" s="41">
        <v>315</v>
      </c>
    </row>
    <row r="17" spans="1:8" ht="15" customHeight="1" x14ac:dyDescent="0.2">
      <c r="B17" s="26" t="s">
        <v>342</v>
      </c>
      <c r="C17" s="41">
        <v>122</v>
      </c>
      <c r="D17" s="41">
        <v>86</v>
      </c>
      <c r="E17" s="41">
        <v>198</v>
      </c>
      <c r="F17" s="41">
        <v>39</v>
      </c>
      <c r="G17" s="41">
        <v>300</v>
      </c>
    </row>
    <row r="19" spans="1:8" ht="21.75" customHeight="1" x14ac:dyDescent="0.2">
      <c r="A19" s="5" t="s">
        <v>343</v>
      </c>
      <c r="B19" s="5"/>
      <c r="C19" s="5"/>
      <c r="D19" s="5"/>
      <c r="E19" s="5"/>
      <c r="F19" s="5"/>
      <c r="G19" s="5"/>
      <c r="H19" s="5"/>
    </row>
    <row r="20" spans="1:8" ht="15" customHeight="1" x14ac:dyDescent="0.2">
      <c r="B20" s="24" t="s">
        <v>267</v>
      </c>
      <c r="C20" s="24" t="s">
        <v>326</v>
      </c>
      <c r="D20" s="24" t="s">
        <v>327</v>
      </c>
      <c r="E20" s="24" t="s">
        <v>328</v>
      </c>
      <c r="F20" s="24" t="s">
        <v>329</v>
      </c>
      <c r="G20" s="24" t="s">
        <v>330</v>
      </c>
      <c r="H20" s="24" t="s">
        <v>344</v>
      </c>
    </row>
    <row r="21" spans="1:8" ht="15" customHeight="1" x14ac:dyDescent="0.2">
      <c r="B21" s="40" t="s">
        <v>156</v>
      </c>
      <c r="C21" s="34">
        <f>AVERAGE(C6:C17)</f>
        <v>136</v>
      </c>
      <c r="D21" s="34">
        <f>AVERAGE(D6:D17)</f>
        <v>93</v>
      </c>
      <c r="E21" s="34">
        <f>AVERAGE(E6:E17)</f>
        <v>210.5</v>
      </c>
      <c r="F21" s="34">
        <f>AVERAGE(F6:F17)</f>
        <v>45.083333333333336</v>
      </c>
      <c r="G21" s="34">
        <f>AVERAGE(G6:G17)</f>
        <v>323.75</v>
      </c>
    </row>
    <row r="22" spans="1:8" ht="15" customHeight="1" x14ac:dyDescent="0.2">
      <c r="B22" s="38" t="s">
        <v>160</v>
      </c>
      <c r="C22" s="34">
        <f>MEDIAN(C6:C17)</f>
        <v>132.5</v>
      </c>
      <c r="D22" s="34">
        <f>MEDIAN(D6:D17)</f>
        <v>93</v>
      </c>
      <c r="E22" s="34">
        <f>MEDIAN(E6:E17)</f>
        <v>209</v>
      </c>
      <c r="F22" s="34">
        <f>MEDIAN(F6:F17)</f>
        <v>44.5</v>
      </c>
      <c r="G22" s="34">
        <f>MEDIAN(G6:G17)</f>
        <v>322.5</v>
      </c>
    </row>
    <row r="23" spans="1:8" ht="15" customHeight="1" x14ac:dyDescent="0.2">
      <c r="B23" s="40" t="s">
        <v>164</v>
      </c>
      <c r="C23" s="34" t="str">
        <f>IFERROR(MODE(C6:C17),"—")</f>
        <v>—</v>
      </c>
      <c r="D23" s="34" t="str">
        <f>IFERROR(MODE(D6:D17),"—")</f>
        <v>—</v>
      </c>
      <c r="E23" s="34" t="str">
        <f>IFERROR(MODE(E6:E17),"—")</f>
        <v>—</v>
      </c>
      <c r="F23" s="34" t="str">
        <f>IFERROR(MODE(F6:F17),"—")</f>
        <v>—</v>
      </c>
      <c r="G23" s="34" t="str">
        <f>IFERROR(MODE(G6:G17),"—")</f>
        <v>—</v>
      </c>
    </row>
    <row r="24" spans="1:8" ht="15" customHeight="1" x14ac:dyDescent="0.2">
      <c r="B24" s="38" t="s">
        <v>270</v>
      </c>
      <c r="C24" s="34">
        <f>MIN(C6:C17)</f>
        <v>110</v>
      </c>
      <c r="D24" s="34">
        <f>MIN(D6:D17)</f>
        <v>85</v>
      </c>
      <c r="E24" s="34">
        <f>MIN(E6:E17)</f>
        <v>195</v>
      </c>
      <c r="F24" s="34">
        <f>MIN(F6:F17)</f>
        <v>38</v>
      </c>
      <c r="G24" s="34">
        <f>MIN(G6:G17)</f>
        <v>295</v>
      </c>
    </row>
    <row r="25" spans="1:8" ht="15" customHeight="1" x14ac:dyDescent="0.2">
      <c r="B25" s="40" t="s">
        <v>282</v>
      </c>
      <c r="C25" s="34">
        <f>MAX(C6:C17)</f>
        <v>175</v>
      </c>
      <c r="D25" s="34">
        <f>MAX(D6:D17)</f>
        <v>102</v>
      </c>
      <c r="E25" s="34">
        <f>MAX(E6:E17)</f>
        <v>230</v>
      </c>
      <c r="F25" s="34">
        <f>MAX(F6:F17)</f>
        <v>55</v>
      </c>
      <c r="G25" s="34">
        <f>MAX(G6:G17)</f>
        <v>360</v>
      </c>
    </row>
    <row r="26" spans="1:8" ht="15" customHeight="1" x14ac:dyDescent="0.2">
      <c r="B26" s="38" t="s">
        <v>228</v>
      </c>
      <c r="C26" s="34">
        <f>MAX(C6:C17)-MIN(C6:C17)</f>
        <v>65</v>
      </c>
      <c r="D26" s="34">
        <f>MAX(D6:D17)-MIN(D6:D17)</f>
        <v>17</v>
      </c>
      <c r="E26" s="34">
        <f>MAX(E6:E17)-MIN(E6:E17)</f>
        <v>35</v>
      </c>
      <c r="F26" s="34">
        <f>MAX(F6:F17)-MIN(F6:F17)</f>
        <v>17</v>
      </c>
      <c r="G26" s="34">
        <f>MAX(G6:G17)-MIN(G6:G17)</f>
        <v>65</v>
      </c>
    </row>
    <row r="27" spans="1:8" ht="15" customHeight="1" x14ac:dyDescent="0.2">
      <c r="B27" s="40" t="s">
        <v>299</v>
      </c>
      <c r="C27" s="34">
        <f>STDEVP(C6:C17)</f>
        <v>18.890032645110313</v>
      </c>
      <c r="D27" s="34">
        <f>STDEVP(D6:D17)</f>
        <v>5.3229064742237702</v>
      </c>
      <c r="E27" s="34">
        <f>STDEVP(E6:E17)</f>
        <v>10.696572659813361</v>
      </c>
      <c r="F27" s="34">
        <f>STDEVP(F6:F17)</f>
        <v>5.1874581658286383</v>
      </c>
      <c r="G27" s="34">
        <f>STDEVP(G6:G17)</f>
        <v>19.270551799745295</v>
      </c>
    </row>
    <row r="28" spans="1:8" ht="15" customHeight="1" x14ac:dyDescent="0.2">
      <c r="B28" s="38" t="s">
        <v>273</v>
      </c>
      <c r="C28" s="34">
        <f>QUARTILE(C6:C17,1)</f>
        <v>121.5</v>
      </c>
      <c r="D28" s="34">
        <f>QUARTILE(D6:D17,1)</f>
        <v>88.75</v>
      </c>
      <c r="E28" s="34">
        <f>QUARTILE(E6:E17,1)</f>
        <v>201.5</v>
      </c>
      <c r="F28" s="34">
        <f>QUARTILE(F6:F17,1)</f>
        <v>40.75</v>
      </c>
      <c r="G28" s="34">
        <f>QUARTILE(G6:G17,1)</f>
        <v>308.75</v>
      </c>
    </row>
    <row r="29" spans="1:8" ht="15" customHeight="1" x14ac:dyDescent="0.2">
      <c r="B29" s="40" t="s">
        <v>279</v>
      </c>
      <c r="C29" s="34">
        <f>QUARTILE(C6:C17,3)</f>
        <v>147.5</v>
      </c>
      <c r="D29" s="34">
        <f>QUARTILE(D6:D17,3)</f>
        <v>97.25</v>
      </c>
      <c r="E29" s="34">
        <f>QUARTILE(E6:E17,3)</f>
        <v>218.5</v>
      </c>
      <c r="F29" s="34">
        <f>QUARTILE(F6:F17,3)</f>
        <v>48.5</v>
      </c>
      <c r="G29" s="34">
        <f>QUARTILE(G6:G17,3)</f>
        <v>336.25</v>
      </c>
    </row>
    <row r="30" spans="1:8" ht="15" customHeight="1" x14ac:dyDescent="0.2">
      <c r="B30" s="38" t="s">
        <v>315</v>
      </c>
      <c r="C30" s="34">
        <f>QUARTILE(C6:C17,3)-QUARTILE(C6:C17,1)</f>
        <v>26</v>
      </c>
      <c r="D30" s="34">
        <f>QUARTILE(D6:D17,3)-QUARTILE(D6:D17,1)</f>
        <v>8.5</v>
      </c>
      <c r="E30" s="34">
        <f>QUARTILE(E6:E17,3)-QUARTILE(E6:E17,1)</f>
        <v>17</v>
      </c>
      <c r="F30" s="34">
        <f>QUARTILE(F6:F17,3)-QUARTILE(F6:F17,1)</f>
        <v>7.75</v>
      </c>
      <c r="G30" s="34">
        <f>QUARTILE(G6:G17,3)-QUARTILE(G6:G17,1)</f>
        <v>27.5</v>
      </c>
    </row>
    <row r="31" spans="1:8" ht="15" customHeight="1" x14ac:dyDescent="0.2">
      <c r="B31" s="40" t="s">
        <v>345</v>
      </c>
      <c r="C31" s="57">
        <f>STDEVP(C6:C17)/AVERAGE(C6:C17)*100</f>
        <v>13.889729886110525</v>
      </c>
      <c r="D31" s="57">
        <f>STDEVP(D6:D17)/AVERAGE(D6:D17)*100</f>
        <v>5.72355534862771</v>
      </c>
      <c r="E31" s="57">
        <f>STDEVP(E6:E17)/AVERAGE(E6:E17)*100</f>
        <v>5.081507201811573</v>
      </c>
      <c r="F31" s="57">
        <f>STDEVP(F6:F17)/AVERAGE(F6:F17)*100</f>
        <v>11.506376707937829</v>
      </c>
      <c r="G31" s="57">
        <f>STDEVP(G6:G17)/AVERAGE(G6:G17)*100</f>
        <v>5.9522939921993183</v>
      </c>
    </row>
    <row r="33" spans="1:8" ht="21.75" customHeight="1" x14ac:dyDescent="0.2">
      <c r="A33" s="5" t="s">
        <v>346</v>
      </c>
      <c r="B33" s="5"/>
      <c r="C33" s="5"/>
      <c r="D33" s="5"/>
      <c r="E33" s="5"/>
      <c r="F33" s="5"/>
      <c r="G33" s="5"/>
      <c r="H33" s="5"/>
    </row>
    <row r="34" spans="1:8" ht="15" customHeight="1" x14ac:dyDescent="0.2">
      <c r="B34" s="24" t="s">
        <v>347</v>
      </c>
      <c r="C34" s="24" t="s">
        <v>273</v>
      </c>
      <c r="D34" s="24" t="s">
        <v>279</v>
      </c>
      <c r="E34" s="24" t="s">
        <v>315</v>
      </c>
      <c r="F34" s="24" t="s">
        <v>348</v>
      </c>
      <c r="G34" s="24" t="s">
        <v>349</v>
      </c>
      <c r="H34" s="24" t="s">
        <v>350</v>
      </c>
    </row>
    <row r="35" spans="1:8" ht="15" customHeight="1" x14ac:dyDescent="0.2">
      <c r="B35" s="28" t="s">
        <v>326</v>
      </c>
      <c r="C35" s="34">
        <f>QUARTILE(C6:C17,1)</f>
        <v>121.5</v>
      </c>
      <c r="D35" s="34">
        <f>QUARTILE(C6:C17,3)</f>
        <v>147.5</v>
      </c>
      <c r="E35" s="34">
        <f>D35-C35</f>
        <v>26</v>
      </c>
      <c r="F35" s="34">
        <f>C35-1.5*E35</f>
        <v>82.5</v>
      </c>
      <c r="G35" s="34">
        <f>D35+1.5*E35</f>
        <v>186.5</v>
      </c>
      <c r="H35" s="58" t="str">
        <f>IF(OR(MIN(C6:C17)&lt;F35,MAX(C6:C17)&gt;G35),"YES","No")</f>
        <v>No</v>
      </c>
    </row>
    <row r="36" spans="1:8" ht="15" customHeight="1" x14ac:dyDescent="0.2">
      <c r="B36" s="28" t="s">
        <v>327</v>
      </c>
      <c r="C36" s="34">
        <f>QUARTILE(D6:D17,1)</f>
        <v>88.75</v>
      </c>
      <c r="D36" s="34">
        <f>QUARTILE(D6:D17,3)</f>
        <v>97.25</v>
      </c>
      <c r="E36" s="34">
        <f>D36-C36</f>
        <v>8.5</v>
      </c>
      <c r="F36" s="34">
        <f>C36-1.5*E36</f>
        <v>76</v>
      </c>
      <c r="G36" s="34">
        <f>D36+1.5*E36</f>
        <v>110</v>
      </c>
      <c r="H36" s="58" t="str">
        <f>IF(OR(MIN(D6:D17)&lt;F36,MAX(D6:D17)&gt;G36),"YES","No")</f>
        <v>No</v>
      </c>
    </row>
    <row r="37" spans="1:8" ht="15" customHeight="1" x14ac:dyDescent="0.2">
      <c r="B37" s="28" t="s">
        <v>328</v>
      </c>
      <c r="C37" s="34">
        <f>QUARTILE(E6:E17,1)</f>
        <v>201.5</v>
      </c>
      <c r="D37" s="34">
        <f>QUARTILE(E6:E17,3)</f>
        <v>218.5</v>
      </c>
      <c r="E37" s="34">
        <f>D37-C37</f>
        <v>17</v>
      </c>
      <c r="F37" s="34">
        <f>C37-1.5*E37</f>
        <v>176</v>
      </c>
      <c r="G37" s="34">
        <f>D37+1.5*E37</f>
        <v>244</v>
      </c>
      <c r="H37" s="58" t="str">
        <f>IF(OR(MIN(E6:E17)&lt;F37,MAX(E6:E17)&gt;G37),"YES","No")</f>
        <v>No</v>
      </c>
    </row>
    <row r="38" spans="1:8" ht="15" customHeight="1" x14ac:dyDescent="0.2">
      <c r="B38" s="28" t="s">
        <v>329</v>
      </c>
      <c r="C38" s="34">
        <f>QUARTILE(F6:F17,1)</f>
        <v>40.75</v>
      </c>
      <c r="D38" s="34">
        <f>QUARTILE(F6:F17,3)</f>
        <v>48.5</v>
      </c>
      <c r="E38" s="34">
        <f>D38-C38</f>
        <v>7.75</v>
      </c>
      <c r="F38" s="34">
        <f>C38-1.5*E38</f>
        <v>29.125</v>
      </c>
      <c r="G38" s="34">
        <f>D38+1.5*E38</f>
        <v>60.125</v>
      </c>
      <c r="H38" s="58" t="str">
        <f>IF(OR(MIN(F6:F17)&lt;F38,MAX(F6:F17)&gt;G38),"YES","No")</f>
        <v>No</v>
      </c>
    </row>
    <row r="39" spans="1:8" ht="15" customHeight="1" x14ac:dyDescent="0.2">
      <c r="B39" s="28" t="s">
        <v>330</v>
      </c>
      <c r="C39" s="34">
        <f>QUARTILE(G6:G17,1)</f>
        <v>308.75</v>
      </c>
      <c r="D39" s="34">
        <f>QUARTILE(G6:G17,3)</f>
        <v>336.25</v>
      </c>
      <c r="E39" s="34">
        <f>D39-C39</f>
        <v>27.5</v>
      </c>
      <c r="F39" s="34">
        <f>C39-1.5*E39</f>
        <v>267.5</v>
      </c>
      <c r="G39" s="34">
        <f>D39+1.5*E39</f>
        <v>377.5</v>
      </c>
      <c r="H39" s="58" t="str">
        <f>IF(OR(MIN(G6:G17)&lt;F39,MAX(G6:G17)&gt;G39),"YES","No")</f>
        <v>No</v>
      </c>
    </row>
    <row r="41" spans="1:8" ht="15" customHeight="1" x14ac:dyDescent="0.2">
      <c r="A41" s="4" t="s">
        <v>351</v>
      </c>
      <c r="B41" s="4"/>
      <c r="C41" s="4"/>
      <c r="D41" s="4"/>
      <c r="E41" s="4"/>
      <c r="F41" s="4"/>
      <c r="G41" s="4"/>
      <c r="H41" s="4"/>
    </row>
  </sheetData>
  <mergeCells count="6">
    <mergeCell ref="A41:H41"/>
    <mergeCell ref="A1:H1"/>
    <mergeCell ref="A2:H2"/>
    <mergeCell ref="A4:H4"/>
    <mergeCell ref="A19:H19"/>
    <mergeCell ref="A33:H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Contents</vt:lpstr>
      <vt:lpstr>📊 Data Classification</vt:lpstr>
      <vt:lpstr>🔢 Frequency Tables</vt:lpstr>
      <vt:lpstr>📈 Measures of Centre</vt:lpstr>
      <vt:lpstr>📉 Spread &amp; Std Dev</vt:lpstr>
      <vt:lpstr>📦 Quartiles &amp; IQR</vt:lpstr>
      <vt:lpstr>🌡 Weather Dataset</vt:lpstr>
      <vt:lpstr>🏪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Yenul Weerabahu Mudiyanselage</cp:lastModifiedBy>
  <cp:revision>0</cp:revision>
  <dcterms:created xsi:type="dcterms:W3CDTF">2026-06-06T04:18:13Z</dcterms:created>
  <dcterms:modified xsi:type="dcterms:W3CDTF">2026-06-06T04:25:23Z</dcterms:modified>
  <dc:language>en-US</dc:language>
</cp:coreProperties>
</file>