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w/Downloads/"/>
    </mc:Choice>
  </mc:AlternateContent>
  <xr:revisionPtr revIDLastSave="0" documentId="13_ncr:1_{F647F451-E09F-B143-8A8F-A56F78C0C770}" xr6:coauthVersionLast="47" xr6:coauthVersionMax="47" xr10:uidLastSave="{00000000-0000-0000-0000-000000000000}"/>
  <bookViews>
    <workbookView xWindow="20" yWindow="620" windowWidth="51200" windowHeight="26120" tabRatio="500" xr2:uid="{00000000-000D-0000-FFFF-FFFF00000000}"/>
  </bookViews>
  <sheets>
    <sheet name="Instructions" sheetId="1" r:id="rId1"/>
    <sheet name="Task 1 Startup" sheetId="2" r:id="rId2"/>
    <sheet name="Task 2 Innovation fund" sheetId="3" r:id="rId3"/>
    <sheet name="Task 3 Solar panels" sheetId="4" r:id="rId4"/>
    <sheet name="Task 4 Community loan" sheetId="5" r:id="rId5"/>
    <sheet name="Task 5 Two more loans" sheetId="6" r:id="rId6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1" i="6" l="1"/>
  <c r="J60" i="6"/>
  <c r="J56" i="6"/>
  <c r="J54" i="6"/>
  <c r="J49" i="6"/>
  <c r="J47" i="6"/>
  <c r="J46" i="6"/>
  <c r="J42" i="6"/>
  <c r="D39" i="6"/>
  <c r="D38" i="6"/>
  <c r="J37" i="6"/>
  <c r="J34" i="6"/>
  <c r="D34" i="6"/>
  <c r="D32" i="6"/>
  <c r="D31" i="6"/>
  <c r="J30" i="6"/>
  <c r="J28" i="6"/>
  <c r="J27" i="6"/>
  <c r="D27" i="6"/>
  <c r="D25" i="6"/>
  <c r="D24" i="6"/>
  <c r="J21" i="6"/>
  <c r="J20" i="6"/>
  <c r="D20" i="6"/>
  <c r="H19" i="6"/>
  <c r="B19" i="6"/>
  <c r="H14" i="6"/>
  <c r="J63" i="6" s="1"/>
  <c r="B14" i="6"/>
  <c r="D41" i="6" s="1"/>
  <c r="H13" i="6"/>
  <c r="B13" i="6"/>
  <c r="H12" i="6"/>
  <c r="B12" i="6"/>
  <c r="B16" i="5"/>
  <c r="C16" i="5" s="1"/>
  <c r="B8" i="5"/>
  <c r="C31" i="4"/>
  <c r="B31" i="4"/>
  <c r="D31" i="4" s="1"/>
  <c r="C30" i="4"/>
  <c r="B30" i="4"/>
  <c r="C29" i="4"/>
  <c r="D29" i="4" s="1"/>
  <c r="B29" i="4"/>
  <c r="D28" i="4"/>
  <c r="C28" i="4"/>
  <c r="B28" i="4"/>
  <c r="D27" i="4"/>
  <c r="C27" i="4"/>
  <c r="B27" i="4"/>
  <c r="C26" i="4"/>
  <c r="B26" i="4"/>
  <c r="D26" i="4" s="1"/>
  <c r="C25" i="4"/>
  <c r="D25" i="4" s="1"/>
  <c r="B25" i="4"/>
  <c r="C24" i="4"/>
  <c r="B24" i="4"/>
  <c r="D24" i="4" s="1"/>
  <c r="C23" i="4"/>
  <c r="D23" i="4" s="1"/>
  <c r="B23" i="4"/>
  <c r="D22" i="4"/>
  <c r="C22" i="4"/>
  <c r="B22" i="4"/>
  <c r="C21" i="4"/>
  <c r="B21" i="4"/>
  <c r="D21" i="4" s="1"/>
  <c r="C20" i="4"/>
  <c r="D20" i="4" s="1"/>
  <c r="B20" i="4"/>
  <c r="C19" i="4"/>
  <c r="B19" i="4"/>
  <c r="D19" i="4" s="1"/>
  <c r="C18" i="4"/>
  <c r="B18" i="4"/>
  <c r="C17" i="4"/>
  <c r="B17" i="4"/>
  <c r="D17" i="4" s="1"/>
  <c r="C16" i="4"/>
  <c r="B16" i="4"/>
  <c r="D16" i="4" s="1"/>
  <c r="D15" i="4"/>
  <c r="C15" i="4"/>
  <c r="B15" i="4"/>
  <c r="D14" i="4"/>
  <c r="C14" i="4"/>
  <c r="B14" i="4"/>
  <c r="C13" i="4"/>
  <c r="D13" i="4" s="1"/>
  <c r="B13" i="4"/>
  <c r="C12" i="4"/>
  <c r="B12" i="4"/>
  <c r="D12" i="4" s="1"/>
  <c r="D11" i="4"/>
  <c r="C11" i="4"/>
  <c r="B11" i="4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D31" i="2"/>
  <c r="C31" i="2"/>
  <c r="B31" i="2"/>
  <c r="C30" i="2"/>
  <c r="D30" i="2" s="1"/>
  <c r="B30" i="2"/>
  <c r="D29" i="2"/>
  <c r="C29" i="2"/>
  <c r="B29" i="2"/>
  <c r="C28" i="2"/>
  <c r="B28" i="2"/>
  <c r="C27" i="2"/>
  <c r="D27" i="2" s="1"/>
  <c r="B27" i="2"/>
  <c r="C26" i="2"/>
  <c r="B26" i="2"/>
  <c r="D26" i="2" s="1"/>
  <c r="C25" i="2"/>
  <c r="B25" i="2"/>
  <c r="D24" i="2"/>
  <c r="C24" i="2"/>
  <c r="B24" i="2"/>
  <c r="C23" i="2"/>
  <c r="B23" i="2"/>
  <c r="C22" i="2"/>
  <c r="D22" i="2" s="1"/>
  <c r="B22" i="2"/>
  <c r="C21" i="2"/>
  <c r="D21" i="2" s="1"/>
  <c r="B21" i="2"/>
  <c r="C20" i="2"/>
  <c r="B20" i="2"/>
  <c r="D20" i="2" s="1"/>
  <c r="C19" i="2"/>
  <c r="B19" i="2"/>
  <c r="D19" i="2" s="1"/>
  <c r="C18" i="2"/>
  <c r="B18" i="2"/>
  <c r="D17" i="2"/>
  <c r="C17" i="2"/>
  <c r="B17" i="2"/>
  <c r="C16" i="2"/>
  <c r="D16" i="2" s="1"/>
  <c r="B16" i="2"/>
  <c r="C15" i="2"/>
  <c r="B15" i="2"/>
  <c r="D15" i="2" s="1"/>
  <c r="C14" i="2"/>
  <c r="B14" i="2"/>
  <c r="C13" i="2"/>
  <c r="B13" i="2"/>
  <c r="D13" i="2" s="1"/>
  <c r="C12" i="2"/>
  <c r="B12" i="2"/>
  <c r="D12" i="2" s="1"/>
  <c r="C11" i="2"/>
  <c r="B11" i="2"/>
  <c r="D16" i="5" l="1"/>
  <c r="E16" i="5"/>
  <c r="B17" i="5" s="1"/>
  <c r="C19" i="6"/>
  <c r="E19" i="6" s="1"/>
  <c r="B20" i="6" s="1"/>
  <c r="D11" i="2"/>
  <c r="D23" i="2"/>
  <c r="D28" i="2"/>
  <c r="D18" i="2"/>
  <c r="D18" i="4"/>
  <c r="D14" i="2"/>
  <c r="D37" i="6"/>
  <c r="D30" i="6"/>
  <c r="D23" i="6"/>
  <c r="D42" i="6"/>
  <c r="D35" i="6"/>
  <c r="D28" i="6"/>
  <c r="D21" i="6"/>
  <c r="D36" i="6"/>
  <c r="D29" i="6"/>
  <c r="D22" i="6"/>
  <c r="D40" i="6"/>
  <c r="D33" i="6"/>
  <c r="D26" i="6"/>
  <c r="D19" i="6"/>
  <c r="J66" i="6"/>
  <c r="J59" i="6"/>
  <c r="J52" i="6"/>
  <c r="J45" i="6"/>
  <c r="J40" i="6"/>
  <c r="J33" i="6"/>
  <c r="J26" i="6"/>
  <c r="J19" i="6"/>
  <c r="J62" i="6"/>
  <c r="J55" i="6"/>
  <c r="J48" i="6"/>
  <c r="J38" i="6"/>
  <c r="J31" i="6"/>
  <c r="J24" i="6"/>
  <c r="J64" i="6"/>
  <c r="J57" i="6"/>
  <c r="J50" i="6"/>
  <c r="J43" i="6"/>
  <c r="J39" i="6"/>
  <c r="J32" i="6"/>
  <c r="J25" i="6"/>
  <c r="J65" i="6"/>
  <c r="J58" i="6"/>
  <c r="J51" i="6"/>
  <c r="J44" i="6"/>
  <c r="J36" i="6"/>
  <c r="J29" i="6"/>
  <c r="J22" i="6"/>
  <c r="J23" i="6"/>
  <c r="J35" i="6"/>
  <c r="J41" i="6"/>
  <c r="J53" i="6"/>
  <c r="D25" i="2"/>
  <c r="D30" i="4"/>
  <c r="I19" i="6"/>
  <c r="K19" i="6" s="1"/>
  <c r="H20" i="6" s="1"/>
  <c r="C20" i="6" l="1"/>
  <c r="E20" i="6"/>
  <c r="B21" i="6" s="1"/>
  <c r="I20" i="6"/>
  <c r="K20" i="6"/>
  <c r="H21" i="6" s="1"/>
  <c r="D17" i="5"/>
  <c r="C17" i="5"/>
  <c r="H15" i="6"/>
  <c r="B15" i="6"/>
  <c r="I21" i="6" l="1"/>
  <c r="K21" i="6"/>
  <c r="H22" i="6" s="1"/>
  <c r="E17" i="5"/>
  <c r="B18" i="5" s="1"/>
  <c r="C21" i="6"/>
  <c r="E21" i="6" l="1"/>
  <c r="B22" i="6" s="1"/>
  <c r="C18" i="5"/>
  <c r="D18" i="5" s="1"/>
  <c r="I22" i="6"/>
  <c r="E18" i="5" l="1"/>
  <c r="B19" i="5" s="1"/>
  <c r="K22" i="6"/>
  <c r="H23" i="6" s="1"/>
  <c r="C22" i="6"/>
  <c r="E22" i="6" l="1"/>
  <c r="B23" i="6" s="1"/>
  <c r="I23" i="6"/>
  <c r="K23" i="6" s="1"/>
  <c r="H24" i="6" s="1"/>
  <c r="D19" i="5"/>
  <c r="C19" i="5"/>
  <c r="I24" i="6" l="1"/>
  <c r="K24" i="6" s="1"/>
  <c r="H25" i="6" s="1"/>
  <c r="C23" i="6"/>
  <c r="E23" i="6" s="1"/>
  <c r="B24" i="6" s="1"/>
  <c r="E19" i="5"/>
  <c r="B20" i="5" s="1"/>
  <c r="C24" i="6" l="1"/>
  <c r="E24" i="6"/>
  <c r="B25" i="6" s="1"/>
  <c r="I25" i="6"/>
  <c r="K25" i="6" s="1"/>
  <c r="H26" i="6" s="1"/>
  <c r="C20" i="5"/>
  <c r="D20" i="5" s="1"/>
  <c r="I26" i="6" l="1"/>
  <c r="K26" i="6" s="1"/>
  <c r="H27" i="6" s="1"/>
  <c r="E20" i="5"/>
  <c r="B21" i="5" s="1"/>
  <c r="C25" i="6"/>
  <c r="E25" i="6"/>
  <c r="B26" i="6" s="1"/>
  <c r="I27" i="6" l="1"/>
  <c r="K27" i="6"/>
  <c r="H28" i="6" s="1"/>
  <c r="C26" i="6"/>
  <c r="E26" i="6" s="1"/>
  <c r="B27" i="6" s="1"/>
  <c r="D21" i="5"/>
  <c r="C21" i="5"/>
  <c r="E21" i="5" s="1"/>
  <c r="B22" i="5" s="1"/>
  <c r="C22" i="5" l="1"/>
  <c r="C27" i="6"/>
  <c r="E27" i="6"/>
  <c r="B28" i="6" s="1"/>
  <c r="I28" i="6"/>
  <c r="K28" i="6"/>
  <c r="H29" i="6" s="1"/>
  <c r="K29" i="6" l="1"/>
  <c r="H30" i="6" s="1"/>
  <c r="I29" i="6"/>
  <c r="C28" i="6"/>
  <c r="E28" i="6" s="1"/>
  <c r="B29" i="6" s="1"/>
  <c r="D22" i="5"/>
  <c r="E22" i="5" s="1"/>
  <c r="B23" i="5" s="1"/>
  <c r="C23" i="5" l="1"/>
  <c r="D23" i="5"/>
  <c r="E23" i="5" s="1"/>
  <c r="B24" i="5" s="1"/>
  <c r="C29" i="6"/>
  <c r="E29" i="6" s="1"/>
  <c r="B30" i="6" s="1"/>
  <c r="I30" i="6"/>
  <c r="K30" i="6"/>
  <c r="H31" i="6" s="1"/>
  <c r="C30" i="6" l="1"/>
  <c r="E30" i="6" s="1"/>
  <c r="B31" i="6" s="1"/>
  <c r="C24" i="5"/>
  <c r="I31" i="6"/>
  <c r="K31" i="6"/>
  <c r="H32" i="6" s="1"/>
  <c r="C31" i="6" l="1"/>
  <c r="E31" i="6" s="1"/>
  <c r="B32" i="6" s="1"/>
  <c r="K32" i="6"/>
  <c r="H33" i="6" s="1"/>
  <c r="I32" i="6"/>
  <c r="D24" i="5"/>
  <c r="E24" i="5" s="1"/>
  <c r="B25" i="5" s="1"/>
  <c r="C25" i="5" l="1"/>
  <c r="D25" i="5"/>
  <c r="E25" i="5" s="1"/>
  <c r="B26" i="5" s="1"/>
  <c r="C32" i="6"/>
  <c r="E32" i="6"/>
  <c r="B33" i="6" s="1"/>
  <c r="I33" i="6"/>
  <c r="K33" i="6" s="1"/>
  <c r="H34" i="6" s="1"/>
  <c r="I34" i="6" l="1"/>
  <c r="K34" i="6" s="1"/>
  <c r="H35" i="6" s="1"/>
  <c r="C26" i="5"/>
  <c r="D26" i="5"/>
  <c r="E26" i="5" s="1"/>
  <c r="B27" i="5" s="1"/>
  <c r="C33" i="6"/>
  <c r="E33" i="6" s="1"/>
  <c r="B34" i="6" s="1"/>
  <c r="C27" i="5" l="1"/>
  <c r="C34" i="6"/>
  <c r="E34" i="6" s="1"/>
  <c r="B35" i="6" s="1"/>
  <c r="I35" i="6"/>
  <c r="K35" i="6"/>
  <c r="H36" i="6" s="1"/>
  <c r="C35" i="6" l="1"/>
  <c r="E35" i="6"/>
  <c r="B36" i="6" s="1"/>
  <c r="I36" i="6"/>
  <c r="K36" i="6" s="1"/>
  <c r="H37" i="6" s="1"/>
  <c r="D27" i="5"/>
  <c r="E27" i="5" s="1"/>
  <c r="B28" i="5" s="1"/>
  <c r="D28" i="5" l="1"/>
  <c r="C28" i="5"/>
  <c r="E28" i="5" s="1"/>
  <c r="B29" i="5" s="1"/>
  <c r="I37" i="6"/>
  <c r="K37" i="6" s="1"/>
  <c r="H38" i="6" s="1"/>
  <c r="C36" i="6"/>
  <c r="E36" i="6" s="1"/>
  <c r="B37" i="6" s="1"/>
  <c r="E37" i="6" l="1"/>
  <c r="B38" i="6" s="1"/>
  <c r="C37" i="6"/>
  <c r="C29" i="5"/>
  <c r="D29" i="5" s="1"/>
  <c r="E29" i="5" s="1"/>
  <c r="B30" i="5" s="1"/>
  <c r="I38" i="6"/>
  <c r="K38" i="6" s="1"/>
  <c r="H39" i="6" s="1"/>
  <c r="I39" i="6" l="1"/>
  <c r="K39" i="6" s="1"/>
  <c r="H40" i="6" s="1"/>
  <c r="C30" i="5"/>
  <c r="D30" i="5"/>
  <c r="E30" i="5" s="1"/>
  <c r="B31" i="5" s="1"/>
  <c r="C38" i="6"/>
  <c r="E38" i="6"/>
  <c r="B39" i="6" s="1"/>
  <c r="D31" i="5" l="1"/>
  <c r="C31" i="5"/>
  <c r="E31" i="5" s="1"/>
  <c r="B32" i="5" s="1"/>
  <c r="I40" i="6"/>
  <c r="K40" i="6" s="1"/>
  <c r="H41" i="6" s="1"/>
  <c r="C39" i="6"/>
  <c r="E39" i="6" s="1"/>
  <c r="B40" i="6" s="1"/>
  <c r="C40" i="6" l="1"/>
  <c r="E40" i="6" s="1"/>
  <c r="B41" i="6" s="1"/>
  <c r="C32" i="5"/>
  <c r="D32" i="5"/>
  <c r="E32" i="5" s="1"/>
  <c r="B33" i="5" s="1"/>
  <c r="I41" i="6"/>
  <c r="K41" i="6"/>
  <c r="H42" i="6" s="1"/>
  <c r="C33" i="5" l="1"/>
  <c r="D33" i="5" s="1"/>
  <c r="E33" i="5" s="1"/>
  <c r="B34" i="5" s="1"/>
  <c r="E41" i="6"/>
  <c r="B42" i="6" s="1"/>
  <c r="C41" i="6"/>
  <c r="I42" i="6"/>
  <c r="K42" i="6"/>
  <c r="H43" i="6" s="1"/>
  <c r="C34" i="5" l="1"/>
  <c r="D34" i="5" s="1"/>
  <c r="K43" i="6"/>
  <c r="H44" i="6" s="1"/>
  <c r="I43" i="6"/>
  <c r="E42" i="6"/>
  <c r="C42" i="6"/>
  <c r="B16" i="6" s="1"/>
  <c r="I44" i="6" l="1"/>
  <c r="K44" i="6" s="1"/>
  <c r="H45" i="6" s="1"/>
  <c r="E34" i="5"/>
  <c r="B35" i="5" s="1"/>
  <c r="I45" i="6" l="1"/>
  <c r="K45" i="6" s="1"/>
  <c r="H46" i="6" s="1"/>
  <c r="C35" i="5"/>
  <c r="K46" i="6" l="1"/>
  <c r="H47" i="6" s="1"/>
  <c r="I46" i="6"/>
  <c r="D35" i="5"/>
  <c r="E35" i="5" s="1"/>
  <c r="B36" i="5" s="1"/>
  <c r="C36" i="5" l="1"/>
  <c r="I47" i="6"/>
  <c r="K47" i="6"/>
  <c r="H48" i="6" s="1"/>
  <c r="I48" i="6" l="1"/>
  <c r="K48" i="6" s="1"/>
  <c r="H49" i="6" s="1"/>
  <c r="D36" i="5"/>
  <c r="E36" i="5" s="1"/>
  <c r="B37" i="5" s="1"/>
  <c r="C37" i="5" l="1"/>
  <c r="D37" i="5"/>
  <c r="E37" i="5" s="1"/>
  <c r="B38" i="5" s="1"/>
  <c r="I49" i="6"/>
  <c r="K49" i="6"/>
  <c r="H50" i="6" s="1"/>
  <c r="C38" i="5" l="1"/>
  <c r="I50" i="6"/>
  <c r="K50" i="6" s="1"/>
  <c r="H51" i="6" s="1"/>
  <c r="K51" i="6" l="1"/>
  <c r="H52" i="6" s="1"/>
  <c r="I51" i="6"/>
  <c r="D38" i="5"/>
  <c r="E38" i="5" s="1"/>
  <c r="B39" i="5" s="1"/>
  <c r="C39" i="5" l="1"/>
  <c r="D39" i="5"/>
  <c r="E39" i="5" s="1"/>
  <c r="B40" i="5" s="1"/>
  <c r="I52" i="6"/>
  <c r="K52" i="6" s="1"/>
  <c r="H53" i="6" s="1"/>
  <c r="I53" i="6" l="1"/>
  <c r="K53" i="6"/>
  <c r="H54" i="6" s="1"/>
  <c r="C40" i="5"/>
  <c r="E40" i="5" s="1"/>
  <c r="B41" i="5" s="1"/>
  <c r="D40" i="5"/>
  <c r="C41" i="5" l="1"/>
  <c r="I54" i="6"/>
  <c r="K54" i="6"/>
  <c r="H55" i="6" s="1"/>
  <c r="I55" i="6" l="1"/>
  <c r="K55" i="6" s="1"/>
  <c r="H56" i="6" s="1"/>
  <c r="D41" i="5"/>
  <c r="E41" i="5" s="1"/>
  <c r="B42" i="5" s="1"/>
  <c r="C42" i="5" l="1"/>
  <c r="I56" i="6"/>
  <c r="K56" i="6"/>
  <c r="H57" i="6" s="1"/>
  <c r="I57" i="6" l="1"/>
  <c r="K57" i="6" s="1"/>
  <c r="H58" i="6" s="1"/>
  <c r="D42" i="5"/>
  <c r="E42" i="5" s="1"/>
  <c r="B43" i="5" s="1"/>
  <c r="C43" i="5" l="1"/>
  <c r="D43" i="5"/>
  <c r="E43" i="5" s="1"/>
  <c r="B44" i="5" s="1"/>
  <c r="I58" i="6"/>
  <c r="K58" i="6" s="1"/>
  <c r="H59" i="6" s="1"/>
  <c r="I59" i="6" l="1"/>
  <c r="K59" i="6" s="1"/>
  <c r="H60" i="6" s="1"/>
  <c r="C44" i="5"/>
  <c r="D44" i="5"/>
  <c r="E44" i="5" s="1"/>
  <c r="B45" i="5" s="1"/>
  <c r="C45" i="5" l="1"/>
  <c r="I60" i="6"/>
  <c r="K60" i="6" s="1"/>
  <c r="H61" i="6" s="1"/>
  <c r="I61" i="6" l="1"/>
  <c r="K61" i="6" s="1"/>
  <c r="H62" i="6" s="1"/>
  <c r="D45" i="5"/>
  <c r="E45" i="5" s="1"/>
  <c r="B46" i="5" s="1"/>
  <c r="C46" i="5" l="1"/>
  <c r="I62" i="6"/>
  <c r="K62" i="6" s="1"/>
  <c r="H63" i="6" s="1"/>
  <c r="I63" i="6" l="1"/>
  <c r="K63" i="6"/>
  <c r="H64" i="6" s="1"/>
  <c r="D46" i="5"/>
  <c r="E46" i="5" s="1"/>
  <c r="B47" i="5" s="1"/>
  <c r="C47" i="5" l="1"/>
  <c r="I64" i="6"/>
  <c r="K64" i="6" s="1"/>
  <c r="H65" i="6" s="1"/>
  <c r="K65" i="6" l="1"/>
  <c r="H66" i="6" s="1"/>
  <c r="I65" i="6"/>
  <c r="D47" i="5"/>
  <c r="E47" i="5" s="1"/>
  <c r="B48" i="5" s="1"/>
  <c r="C48" i="5" l="1"/>
  <c r="I66" i="6"/>
  <c r="H16" i="6" s="1"/>
  <c r="K66" i="6" l="1"/>
  <c r="D48" i="5"/>
  <c r="E48" i="5" s="1"/>
  <c r="B49" i="5" s="1"/>
  <c r="C49" i="5" l="1"/>
  <c r="D49" i="5" l="1"/>
  <c r="E49" i="5" s="1"/>
  <c r="B50" i="5" s="1"/>
  <c r="C50" i="5" l="1"/>
  <c r="D50" i="5" l="1"/>
  <c r="E50" i="5" s="1"/>
  <c r="B51" i="5" s="1"/>
  <c r="C51" i="5" l="1"/>
  <c r="D51" i="5"/>
  <c r="E51" i="5" s="1"/>
  <c r="B52" i="5" s="1"/>
  <c r="C52" i="5" l="1"/>
  <c r="D52" i="5" l="1"/>
  <c r="E52" i="5" s="1"/>
  <c r="B53" i="5" s="1"/>
  <c r="C53" i="5" l="1"/>
  <c r="D53" i="5"/>
  <c r="E53" i="5" s="1"/>
  <c r="B54" i="5" s="1"/>
  <c r="C54" i="5" l="1"/>
  <c r="D54" i="5" l="1"/>
  <c r="E54" i="5" s="1"/>
  <c r="B55" i="5" s="1"/>
  <c r="C55" i="5" l="1"/>
  <c r="D55" i="5" l="1"/>
  <c r="E55" i="5" s="1"/>
  <c r="B56" i="5" s="1"/>
  <c r="C56" i="5" l="1"/>
  <c r="D56" i="5" l="1"/>
  <c r="E56" i="5" s="1"/>
  <c r="B57" i="5" s="1"/>
  <c r="C57" i="5" l="1"/>
  <c r="D57" i="5" l="1"/>
  <c r="E57" i="5" s="1"/>
  <c r="B58" i="5" s="1"/>
  <c r="C58" i="5" l="1"/>
  <c r="D58" i="5"/>
  <c r="E58" i="5" s="1"/>
  <c r="B59" i="5" s="1"/>
  <c r="C59" i="5" l="1"/>
  <c r="D59" i="5" l="1"/>
  <c r="E59" i="5" s="1"/>
  <c r="B60" i="5" s="1"/>
  <c r="C60" i="5" l="1"/>
  <c r="D60" i="5"/>
  <c r="E60" i="5" s="1"/>
  <c r="B61" i="5" s="1"/>
  <c r="C61" i="5" l="1"/>
  <c r="D61" i="5" l="1"/>
  <c r="E61" i="5" s="1"/>
  <c r="B62" i="5" s="1"/>
  <c r="C62" i="5" l="1"/>
  <c r="D62" i="5" s="1"/>
  <c r="E62" i="5" s="1"/>
  <c r="B63" i="5" s="1"/>
  <c r="C63" i="5" l="1"/>
  <c r="D63" i="5" l="1"/>
  <c r="E63" i="5" s="1"/>
  <c r="B64" i="5" s="1"/>
  <c r="C64" i="5" l="1"/>
  <c r="D64" i="5" s="1"/>
  <c r="E64" i="5" l="1"/>
  <c r="B65" i="5" s="1"/>
  <c r="C65" i="5" l="1"/>
  <c r="D65" i="5"/>
  <c r="E65" i="5" s="1"/>
  <c r="B66" i="5" s="1"/>
  <c r="C66" i="5" l="1"/>
  <c r="D66" i="5" l="1"/>
  <c r="E66" i="5" s="1"/>
  <c r="B67" i="5" s="1"/>
  <c r="C67" i="5" l="1"/>
  <c r="D67" i="5"/>
  <c r="E67" i="5" s="1"/>
  <c r="B68" i="5" s="1"/>
  <c r="C68" i="5" l="1"/>
  <c r="D68" i="5" l="1"/>
  <c r="E68" i="5" s="1"/>
  <c r="B69" i="5" s="1"/>
  <c r="C69" i="5" l="1"/>
  <c r="D69" i="5" s="1"/>
  <c r="E69" i="5" l="1"/>
  <c r="B70" i="5" s="1"/>
  <c r="C70" i="5" l="1"/>
  <c r="D70" i="5" l="1"/>
  <c r="E70" i="5" s="1"/>
  <c r="B71" i="5" s="1"/>
  <c r="C71" i="5" l="1"/>
  <c r="D71" i="5" l="1"/>
  <c r="E71" i="5" s="1"/>
  <c r="B72" i="5" s="1"/>
  <c r="C72" i="5" l="1"/>
  <c r="D72" i="5"/>
  <c r="E72" i="5" s="1"/>
  <c r="B73" i="5" s="1"/>
  <c r="C73" i="5" l="1"/>
  <c r="D73" i="5" l="1"/>
  <c r="E73" i="5" s="1"/>
  <c r="B74" i="5" s="1"/>
  <c r="C74" i="5" l="1"/>
  <c r="D74" i="5"/>
  <c r="E74" i="5" s="1"/>
  <c r="B75" i="5" s="1"/>
  <c r="C75" i="5" l="1"/>
  <c r="E75" i="5" s="1"/>
  <c r="B76" i="5" s="1"/>
  <c r="D75" i="5"/>
  <c r="C76" i="5" l="1"/>
  <c r="D76" i="5" l="1"/>
  <c r="E76" i="5" s="1"/>
  <c r="B77" i="5" s="1"/>
  <c r="C77" i="5" l="1"/>
  <c r="D77" i="5" l="1"/>
  <c r="E77" i="5" s="1"/>
  <c r="B78" i="5" s="1"/>
  <c r="C78" i="5" l="1"/>
  <c r="D78" i="5" s="1"/>
  <c r="E78" i="5" s="1"/>
  <c r="B79" i="5" s="1"/>
  <c r="C79" i="5" l="1"/>
  <c r="D79" i="5"/>
  <c r="E79" i="5" s="1"/>
  <c r="B80" i="5" s="1"/>
  <c r="C80" i="5" l="1"/>
  <c r="D80" i="5" l="1"/>
  <c r="E80" i="5" s="1"/>
  <c r="B81" i="5" s="1"/>
  <c r="C81" i="5" l="1"/>
  <c r="D81" i="5"/>
  <c r="E81" i="5" s="1"/>
  <c r="B82" i="5" s="1"/>
  <c r="C82" i="5" l="1"/>
  <c r="D82" i="5" l="1"/>
  <c r="E82" i="5" s="1"/>
  <c r="B83" i="5" s="1"/>
  <c r="C83" i="5" l="1"/>
  <c r="D83" i="5" s="1"/>
  <c r="E83" i="5" s="1"/>
  <c r="B84" i="5" s="1"/>
  <c r="C84" i="5" l="1"/>
  <c r="D84" i="5" l="1"/>
  <c r="E84" i="5" s="1"/>
  <c r="B85" i="5" s="1"/>
  <c r="C85" i="5" l="1"/>
  <c r="D85" i="5" l="1"/>
  <c r="E85" i="5" s="1"/>
  <c r="B86" i="5" s="1"/>
  <c r="C86" i="5" l="1"/>
  <c r="D86" i="5"/>
  <c r="E86" i="5" s="1"/>
  <c r="B87" i="5" s="1"/>
  <c r="C87" i="5" l="1"/>
  <c r="D87" i="5" l="1"/>
  <c r="E87" i="5" s="1"/>
  <c r="B88" i="5" s="1"/>
  <c r="C88" i="5" l="1"/>
  <c r="D88" i="5"/>
  <c r="E88" i="5" s="1"/>
  <c r="B89" i="5" s="1"/>
  <c r="C89" i="5" l="1"/>
  <c r="E89" i="5" s="1"/>
  <c r="B90" i="5" s="1"/>
  <c r="D89" i="5"/>
  <c r="C90" i="5" l="1"/>
  <c r="D90" i="5" s="1"/>
  <c r="E90" i="5" s="1"/>
  <c r="B91" i="5" s="1"/>
  <c r="C91" i="5" l="1"/>
  <c r="D91" i="5" l="1"/>
  <c r="E91" i="5" s="1"/>
  <c r="B92" i="5" s="1"/>
  <c r="C92" i="5" l="1"/>
  <c r="D92" i="5" l="1"/>
  <c r="E92" i="5" s="1"/>
  <c r="B93" i="5" s="1"/>
  <c r="C93" i="5" l="1"/>
  <c r="D93" i="5"/>
  <c r="E93" i="5" s="1"/>
  <c r="B94" i="5" s="1"/>
  <c r="C94" i="5" l="1"/>
  <c r="D94" i="5" l="1"/>
  <c r="E94" i="5" s="1"/>
  <c r="B95" i="5" s="1"/>
  <c r="C95" i="5" l="1"/>
  <c r="D95" i="5"/>
  <c r="E95" i="5" s="1"/>
  <c r="B96" i="5" s="1"/>
  <c r="C96" i="5" l="1"/>
  <c r="E96" i="5" l="1"/>
  <c r="B97" i="5" s="1"/>
  <c r="D96" i="5"/>
  <c r="C97" i="5" l="1"/>
  <c r="D97" i="5"/>
  <c r="E97" i="5" s="1"/>
  <c r="B98" i="5" s="1"/>
  <c r="C98" i="5" l="1"/>
  <c r="D98" i="5" l="1"/>
  <c r="E98" i="5" s="1"/>
  <c r="B99" i="5" s="1"/>
  <c r="C99" i="5" l="1"/>
  <c r="D99" i="5" l="1"/>
  <c r="E99" i="5" s="1"/>
  <c r="B100" i="5" s="1"/>
  <c r="C100" i="5" l="1"/>
  <c r="D100" i="5"/>
  <c r="E100" i="5" s="1"/>
  <c r="B101" i="5" s="1"/>
  <c r="C101" i="5" l="1"/>
  <c r="D101" i="5" l="1"/>
  <c r="E101" i="5" s="1"/>
  <c r="B102" i="5" s="1"/>
  <c r="C102" i="5" l="1"/>
  <c r="D102" i="5"/>
  <c r="E102" i="5" s="1"/>
  <c r="B103" i="5" s="1"/>
  <c r="C103" i="5" l="1"/>
  <c r="D103" i="5" l="1"/>
  <c r="E103" i="5" s="1"/>
  <c r="B104" i="5" s="1"/>
  <c r="C104" i="5" l="1"/>
  <c r="D104" i="5" l="1"/>
  <c r="E104" i="5" s="1"/>
  <c r="B105" i="5" s="1"/>
  <c r="C105" i="5" l="1"/>
  <c r="D105" i="5" l="1"/>
  <c r="E105" i="5" s="1"/>
  <c r="B106" i="5" s="1"/>
  <c r="C106" i="5" l="1"/>
  <c r="D106" i="5" l="1"/>
  <c r="E106" i="5" s="1"/>
  <c r="B107" i="5" s="1"/>
  <c r="C107" i="5" l="1"/>
  <c r="D107" i="5"/>
  <c r="E107" i="5" s="1"/>
  <c r="B108" i="5" s="1"/>
  <c r="C108" i="5" l="1"/>
  <c r="D108" i="5" l="1"/>
  <c r="E108" i="5" s="1"/>
  <c r="B109" i="5" s="1"/>
  <c r="C109" i="5" l="1"/>
  <c r="D109" i="5"/>
  <c r="E109" i="5" s="1"/>
  <c r="B110" i="5" s="1"/>
  <c r="C110" i="5" l="1"/>
  <c r="D110" i="5" l="1"/>
  <c r="E110" i="5" s="1"/>
  <c r="B111" i="5" s="1"/>
  <c r="C111" i="5" l="1"/>
  <c r="D111" i="5"/>
  <c r="E111" i="5" s="1"/>
  <c r="B112" i="5" s="1"/>
  <c r="C112" i="5" l="1"/>
  <c r="D112" i="5" l="1"/>
  <c r="E112" i="5" s="1"/>
  <c r="B113" i="5" s="1"/>
  <c r="C113" i="5" l="1"/>
  <c r="D113" i="5" s="1"/>
  <c r="E113" i="5" l="1"/>
  <c r="B114" i="5" s="1"/>
  <c r="C114" i="5" l="1"/>
  <c r="D114" i="5"/>
  <c r="E114" i="5" s="1"/>
  <c r="B115" i="5" s="1"/>
  <c r="C115" i="5" l="1"/>
  <c r="D115" i="5" l="1"/>
  <c r="E115" i="5" s="1"/>
  <c r="B116" i="5" s="1"/>
  <c r="C116" i="5" l="1"/>
  <c r="D116" i="5"/>
  <c r="E116" i="5" s="1"/>
  <c r="B117" i="5" s="1"/>
  <c r="C117" i="5" l="1"/>
  <c r="E117" i="5" s="1"/>
  <c r="B118" i="5" s="1"/>
  <c r="D117" i="5"/>
  <c r="C118" i="5" l="1"/>
  <c r="D118" i="5" s="1"/>
  <c r="E118" i="5" l="1"/>
  <c r="B119" i="5" s="1"/>
  <c r="D119" i="5" l="1"/>
  <c r="C119" i="5"/>
  <c r="E119" i="5" s="1"/>
  <c r="B120" i="5" s="1"/>
  <c r="C120" i="5" l="1"/>
  <c r="D120" i="5" l="1"/>
  <c r="E120" i="5" s="1"/>
  <c r="B121" i="5" s="1"/>
  <c r="C121" i="5" l="1"/>
  <c r="D121" i="5"/>
  <c r="E121" i="5" s="1"/>
  <c r="B122" i="5" s="1"/>
  <c r="C122" i="5" l="1"/>
  <c r="D122" i="5" l="1"/>
  <c r="E122" i="5" s="1"/>
  <c r="B123" i="5" s="1"/>
  <c r="C123" i="5" l="1"/>
  <c r="D123" i="5"/>
  <c r="E123" i="5" s="1"/>
  <c r="B124" i="5" s="1"/>
  <c r="C124" i="5" l="1"/>
  <c r="E124" i="5" s="1"/>
  <c r="B125" i="5" s="1"/>
  <c r="D124" i="5"/>
  <c r="C125" i="5" l="1"/>
  <c r="D125" i="5" s="1"/>
  <c r="E125" i="5" l="1"/>
  <c r="B126" i="5" s="1"/>
  <c r="C126" i="5" l="1"/>
  <c r="D126" i="5" l="1"/>
  <c r="E126" i="5" s="1"/>
  <c r="B127" i="5" s="1"/>
  <c r="C127" i="5" l="1"/>
  <c r="D127" i="5" s="1"/>
  <c r="E127" i="5" s="1"/>
  <c r="B128" i="5" s="1"/>
  <c r="C128" i="5" l="1"/>
  <c r="D128" i="5"/>
  <c r="E128" i="5" s="1"/>
  <c r="B129" i="5" s="1"/>
  <c r="C129" i="5" l="1"/>
  <c r="D129" i="5" l="1"/>
  <c r="E129" i="5" s="1"/>
  <c r="B130" i="5" s="1"/>
  <c r="C130" i="5" l="1"/>
  <c r="D130" i="5"/>
  <c r="E130" i="5" s="1"/>
  <c r="B131" i="5" s="1"/>
  <c r="C131" i="5" l="1"/>
  <c r="E131" i="5" l="1"/>
  <c r="B132" i="5" s="1"/>
  <c r="D131" i="5"/>
  <c r="C132" i="5" l="1"/>
  <c r="D132" i="5" s="1"/>
  <c r="E132" i="5" s="1"/>
  <c r="B133" i="5" s="1"/>
  <c r="C133" i="5" l="1"/>
  <c r="D133" i="5" l="1"/>
  <c r="E133" i="5" s="1"/>
  <c r="B134" i="5" s="1"/>
  <c r="C134" i="5" l="1"/>
  <c r="D134" i="5" l="1"/>
  <c r="E134" i="5" s="1"/>
  <c r="B135" i="5" s="1"/>
  <c r="C135" i="5" l="1"/>
  <c r="D135" i="5"/>
  <c r="E135" i="5" s="1"/>
  <c r="B136" i="5" s="1"/>
  <c r="C136" i="5" l="1"/>
  <c r="E136" i="5" l="1"/>
  <c r="B137" i="5" s="1"/>
  <c r="D136" i="5"/>
  <c r="C137" i="5" l="1"/>
  <c r="D137" i="5" l="1"/>
  <c r="E137" i="5" s="1"/>
  <c r="B138" i="5" s="1"/>
  <c r="C138" i="5" l="1"/>
  <c r="E138" i="5" s="1"/>
  <c r="B139" i="5" s="1"/>
  <c r="D138" i="5"/>
  <c r="C139" i="5" l="1"/>
  <c r="D139" i="5"/>
  <c r="E139" i="5"/>
  <c r="B140" i="5" s="1"/>
  <c r="C140" i="5" l="1"/>
  <c r="E140" i="5" l="1"/>
  <c r="B141" i="5" s="1"/>
  <c r="D140" i="5"/>
  <c r="C141" i="5" l="1"/>
  <c r="D141" i="5" l="1"/>
  <c r="E141" i="5" s="1"/>
  <c r="B142" i="5" s="1"/>
  <c r="C142" i="5" l="1"/>
  <c r="D142" i="5"/>
  <c r="E142" i="5" s="1"/>
  <c r="B143" i="5" s="1"/>
  <c r="C143" i="5" l="1"/>
  <c r="D143" i="5" l="1"/>
  <c r="E143" i="5" s="1"/>
  <c r="B144" i="5" s="1"/>
  <c r="C144" i="5" l="1"/>
  <c r="D144" i="5"/>
  <c r="E144" i="5" s="1"/>
  <c r="B145" i="5" s="1"/>
  <c r="C145" i="5" l="1"/>
  <c r="E145" i="5" s="1"/>
  <c r="B146" i="5" s="1"/>
  <c r="D145" i="5"/>
  <c r="C146" i="5" l="1"/>
  <c r="D146" i="5" l="1"/>
  <c r="E146" i="5" s="1"/>
  <c r="B147" i="5" s="1"/>
  <c r="C147" i="5" l="1"/>
  <c r="D147" i="5" l="1"/>
  <c r="E147" i="5" s="1"/>
  <c r="B148" i="5" s="1"/>
  <c r="C148" i="5" l="1"/>
  <c r="D148" i="5" l="1"/>
  <c r="E148" i="5" s="1"/>
  <c r="B149" i="5" s="1"/>
  <c r="C149" i="5" l="1"/>
  <c r="D149" i="5"/>
  <c r="E149" i="5"/>
  <c r="B150" i="5" s="1"/>
  <c r="C150" i="5" l="1"/>
  <c r="D150" i="5" l="1"/>
  <c r="E150" i="5" s="1"/>
  <c r="B151" i="5" s="1"/>
  <c r="C151" i="5" l="1"/>
  <c r="D151" i="5"/>
  <c r="E151" i="5" s="1"/>
  <c r="B152" i="5" s="1"/>
  <c r="C152" i="5" l="1"/>
  <c r="D152" i="5" l="1"/>
  <c r="E152" i="5" s="1"/>
  <c r="B153" i="5" s="1"/>
  <c r="C153" i="5" l="1"/>
  <c r="D153" i="5" l="1"/>
  <c r="E153" i="5" s="1"/>
  <c r="B154" i="5" s="1"/>
  <c r="C154" i="5" l="1"/>
  <c r="D154" i="5" l="1"/>
  <c r="E154" i="5" s="1"/>
  <c r="B155" i="5" s="1"/>
  <c r="C155" i="5" l="1"/>
  <c r="D155" i="5" l="1"/>
  <c r="E155" i="5" s="1"/>
  <c r="B156" i="5" s="1"/>
  <c r="C156" i="5" l="1"/>
  <c r="D156" i="5"/>
  <c r="E156" i="5" s="1"/>
  <c r="B157" i="5" s="1"/>
  <c r="C157" i="5" l="1"/>
  <c r="D157" i="5" l="1"/>
  <c r="E157" i="5" s="1"/>
  <c r="B158" i="5" s="1"/>
  <c r="C158" i="5" l="1"/>
  <c r="D158" i="5" l="1"/>
  <c r="E158" i="5" s="1"/>
  <c r="B159" i="5" s="1"/>
  <c r="C159" i="5" l="1"/>
  <c r="D159" i="5" l="1"/>
  <c r="E159" i="5" s="1"/>
  <c r="B160" i="5" s="1"/>
  <c r="C160" i="5" l="1"/>
  <c r="D160" i="5" l="1"/>
  <c r="E160" i="5" s="1"/>
  <c r="B161" i="5" s="1"/>
  <c r="C161" i="5" l="1"/>
  <c r="D161" i="5" l="1"/>
  <c r="E161" i="5" s="1"/>
  <c r="B162" i="5" s="1"/>
  <c r="C162" i="5" l="1"/>
  <c r="D162" i="5" s="1"/>
  <c r="E162" i="5" l="1"/>
  <c r="B163" i="5" s="1"/>
  <c r="C163" i="5" l="1"/>
  <c r="E163" i="5" s="1"/>
  <c r="B164" i="5" s="1"/>
  <c r="D163" i="5"/>
  <c r="C164" i="5" l="1"/>
  <c r="D164" i="5" l="1"/>
  <c r="E164" i="5" s="1"/>
  <c r="B165" i="5" s="1"/>
  <c r="C165" i="5" l="1"/>
  <c r="D165" i="5"/>
  <c r="E165" i="5" s="1"/>
  <c r="B166" i="5" s="1"/>
  <c r="C166" i="5" l="1"/>
  <c r="D166" i="5" l="1"/>
  <c r="E166" i="5" s="1"/>
  <c r="B167" i="5" s="1"/>
  <c r="C167" i="5" l="1"/>
  <c r="D167" i="5" s="1"/>
  <c r="E167" i="5" s="1"/>
  <c r="B168" i="5" s="1"/>
  <c r="C168" i="5" l="1"/>
  <c r="D168" i="5" l="1"/>
  <c r="E168" i="5" s="1"/>
  <c r="B169" i="5" s="1"/>
  <c r="C169" i="5" l="1"/>
  <c r="D169" i="5" l="1"/>
  <c r="E169" i="5" s="1"/>
  <c r="B170" i="5" s="1"/>
  <c r="C170" i="5" l="1"/>
  <c r="D170" i="5"/>
  <c r="E170" i="5" s="1"/>
  <c r="B171" i="5" s="1"/>
  <c r="C171" i="5" l="1"/>
  <c r="D171" i="5" l="1"/>
  <c r="E171" i="5" s="1"/>
  <c r="B172" i="5" s="1"/>
  <c r="C172" i="5" l="1"/>
  <c r="D172" i="5"/>
  <c r="E172" i="5"/>
  <c r="B173" i="5" s="1"/>
  <c r="C173" i="5" l="1"/>
  <c r="D173" i="5" l="1"/>
  <c r="E173" i="5" s="1"/>
  <c r="B174" i="5" s="1"/>
  <c r="C174" i="5" l="1"/>
  <c r="D174" i="5" s="1"/>
  <c r="E174" i="5" s="1"/>
  <c r="B175" i="5" s="1"/>
  <c r="C175" i="5" l="1"/>
  <c r="D175" i="5" l="1"/>
  <c r="E175" i="5" s="1"/>
  <c r="B176" i="5" s="1"/>
  <c r="C176" i="5" l="1"/>
  <c r="E176" i="5" l="1"/>
  <c r="B177" i="5" s="1"/>
  <c r="D176" i="5"/>
  <c r="C177" i="5" l="1"/>
  <c r="E177" i="5" s="1"/>
  <c r="B178" i="5" s="1"/>
  <c r="D177" i="5"/>
  <c r="C178" i="5" l="1"/>
  <c r="D178" i="5" l="1"/>
  <c r="E178" i="5" s="1"/>
  <c r="B179" i="5" s="1"/>
  <c r="C179" i="5" l="1"/>
  <c r="D179" i="5"/>
  <c r="E179" i="5" s="1"/>
  <c r="B180" i="5" s="1"/>
  <c r="C180" i="5" l="1"/>
  <c r="D180" i="5" l="1"/>
  <c r="E180" i="5" s="1"/>
  <c r="B181" i="5" s="1"/>
  <c r="C181" i="5" l="1"/>
  <c r="D181" i="5" l="1"/>
  <c r="E181" i="5" s="1"/>
  <c r="B182" i="5" s="1"/>
  <c r="C182" i="5" l="1"/>
  <c r="D182" i="5" l="1"/>
  <c r="E182" i="5" s="1"/>
  <c r="B183" i="5" s="1"/>
  <c r="C183" i="5" l="1"/>
  <c r="D183" i="5" l="1"/>
  <c r="E183" i="5" s="1"/>
  <c r="B184" i="5" s="1"/>
  <c r="C184" i="5" l="1"/>
  <c r="D184" i="5"/>
  <c r="E184" i="5"/>
  <c r="B185" i="5" s="1"/>
  <c r="C185" i="5" l="1"/>
  <c r="D185" i="5" l="1"/>
  <c r="E185" i="5" s="1"/>
  <c r="B186" i="5" s="1"/>
  <c r="C186" i="5" l="1"/>
  <c r="D186" i="5"/>
  <c r="E186" i="5" s="1"/>
  <c r="B187" i="5" s="1"/>
  <c r="C187" i="5" l="1"/>
  <c r="D187" i="5" l="1"/>
  <c r="E187" i="5" s="1"/>
  <c r="B188" i="5" s="1"/>
  <c r="C188" i="5" l="1"/>
  <c r="D188" i="5" l="1"/>
  <c r="E188" i="5" s="1"/>
  <c r="B189" i="5" s="1"/>
  <c r="C189" i="5" l="1"/>
  <c r="D189" i="5" l="1"/>
  <c r="E189" i="5" s="1"/>
  <c r="B190" i="5" s="1"/>
  <c r="C190" i="5" l="1"/>
  <c r="D190" i="5" s="1"/>
  <c r="E190" i="5" s="1"/>
  <c r="B191" i="5" s="1"/>
  <c r="C191" i="5" l="1"/>
  <c r="D191" i="5"/>
  <c r="E191" i="5" s="1"/>
  <c r="B192" i="5" s="1"/>
  <c r="C192" i="5" l="1"/>
  <c r="D192" i="5" l="1"/>
  <c r="E192" i="5" s="1"/>
  <c r="B193" i="5" s="1"/>
  <c r="C193" i="5" l="1"/>
  <c r="D193" i="5"/>
  <c r="E193" i="5"/>
  <c r="B194" i="5" s="1"/>
  <c r="C194" i="5" l="1"/>
  <c r="D194" i="5" l="1"/>
  <c r="E194" i="5" s="1"/>
  <c r="B195" i="5" s="1"/>
  <c r="C195" i="5" l="1"/>
  <c r="B13" i="5" s="1"/>
  <c r="D195" i="5" l="1"/>
  <c r="E195" i="5"/>
  <c r="B12" i="5" l="1"/>
  <c r="B11" i="5"/>
</calcChain>
</file>

<file path=xl/sharedStrings.xml><?xml version="1.0" encoding="utf-8"?>
<sst xmlns="http://schemas.openxmlformats.org/spreadsheetml/2006/main" count="218" uniqueCount="178">
  <si>
    <t>Five tasks. In each one you build the spreadsheet model yourself, then use it to answer the questions.</t>
  </si>
  <si>
    <t>Name</t>
  </si>
  <si>
    <t>Model solutions</t>
  </si>
  <si>
    <t>Colour key</t>
  </si>
  <si>
    <t>Yellow = your work. Type a formula or a written answer here.</t>
  </si>
  <si>
    <t>Blue = given information. Only change it when a question tells you to, then change it back.</t>
  </si>
  <si>
    <t>Green = model formulas and answers (yellow in the student copy).</t>
  </si>
  <si>
    <t>The tasks</t>
  </si>
  <si>
    <t>Tab</t>
  </si>
  <si>
    <t>Context</t>
  </si>
  <si>
    <t>What you practise</t>
  </si>
  <si>
    <t>Task 1 Startup</t>
  </si>
  <si>
    <t>Investing in a tech startup fund</t>
  </si>
  <si>
    <t>Simple vs compound interest; line chart</t>
  </si>
  <si>
    <t>Task 2 Innovation fund</t>
  </si>
  <si>
    <t>A startup's innovation fund</t>
  </si>
  <si>
    <t>Different interest rates and compounding periods</t>
  </si>
  <si>
    <t>Task 3 Solar panels</t>
  </si>
  <si>
    <t>Depreciation of a rooftop solar system</t>
  </si>
  <si>
    <t>Straight-line vs declining-balance depreciation</t>
  </si>
  <si>
    <t>Task 4 Community loan</t>
  </si>
  <si>
    <t>A loan for a community hall and garden</t>
  </si>
  <si>
    <t>Building a reducing balance loan table; what-if questions</t>
  </si>
  <si>
    <t>Task 5 Two more loans</t>
  </si>
  <si>
    <t>Sustainable agriculture and IT infrastructure loans</t>
  </si>
  <si>
    <t>Using PMT to find a repayment; building a loan model independently</t>
  </si>
  <si>
    <t>Rules for a good spreadsheet model</t>
  </si>
  <si>
    <t xml:space="preserve">   1.  Every yellow table cell must contain a formula starting with =, not a typed number.</t>
  </si>
  <si>
    <t xml:space="preserve">   2.  Formulas must use cell references (such as $B$5) for the given values, so the model updates when a value changes.</t>
  </si>
  <si>
    <t xml:space="preserve">   3.  Use $ signs to lock a reference before you fill a formula down or across.</t>
  </si>
  <si>
    <t xml:space="preserve">   4.  Use the check figures on each tab to test your formulas before you answer the questions.</t>
  </si>
  <si>
    <t xml:space="preserve">   5.  Every chart needs a title, axis titles and a legend if it has more than one line. Place charts to the right of the questions.</t>
  </si>
  <si>
    <t xml:space="preserve">   6.  Written answers should include the numbers from your spreadsheet that support them.</t>
  </si>
  <si>
    <t>Task 1   Investing in a tech startup: simple vs compound interest</t>
  </si>
  <si>
    <t>You have $8,000 to invest in a fund that backs a tech startup. Option A pays simple interest. Option B pays a lower rate, but the interest compounds annually.</t>
  </si>
  <si>
    <t>Given information</t>
  </si>
  <si>
    <t>What to do</t>
  </si>
  <si>
    <t>Amount invested ($)</t>
  </si>
  <si>
    <t>1. Year 0 is done for you. In B12, write a formula for the value of Option A after 1 year (simple interest). Use cell references with $ signs, not typed numbers.</t>
  </si>
  <si>
    <t>Option A: simple interest rate p.a.</t>
  </si>
  <si>
    <t>Option B: compound interest rate p.a.</t>
  </si>
  <si>
    <t>2. In C12, write a formula for the value of Option B (compound interest). In D12, find the difference, Option B − Option A.</t>
  </si>
  <si>
    <t>Your table</t>
  </si>
  <si>
    <t>3. Fill all three formulas down to Year 20.</t>
  </si>
  <si>
    <t>Year</t>
  </si>
  <si>
    <t>Option A value ($)</t>
  </si>
  <si>
    <t>Option B value ($)</t>
  </si>
  <si>
    <t>Difference, B − A ($)</t>
  </si>
  <si>
    <t>Check: after 20 years Option A should be $20,000.00 and Option B should be $25,657.08.</t>
  </si>
  <si>
    <t>Questions – model answers</t>
  </si>
  <si>
    <t>Q1.  What is each option worth after 10 years? Which is better at that point?</t>
  </si>
  <si>
    <t>Option A: $14,000.00. Option B: $14,326.78. Option B is better by $326.78.</t>
  </si>
  <si>
    <t>Q2.  In which year does Option B first become worth more than Option A?</t>
  </si>
  <si>
    <t>Year 9: Option B is $13,515.83 and Option A is $13,400.00. (In Year 8 Option A is still ahead, $12,800.00 to $12,750.78.)</t>
  </si>
  <si>
    <t>Q3.  Insert a line chart showing both options over the 20 years. Describe the shape of each graph and explain what causes it.</t>
  </si>
  <si>
    <t>Option A is a straight line: simple interest adds the same $600 every year (linear growth). Option B is a curve that gets steeper: each year's interest is 6% of a larger balance, so the amount added keeps increasing (exponential growth). The lines cross between Years 8 and 9.</t>
  </si>
  <si>
    <t>Q4.  Change Option B's rate to 5%. In which year does Option B overtake Option A now? (Change it back to 6% afterwards.)</t>
  </si>
  <si>
    <t>Year 17 ($18,336.15 compared with $18,200.00). A lower compound rate takes much longer to catch up.</t>
  </si>
  <si>
    <t>Q5.  The startup offers Option C: 10% p.a. simple interest. For a 20-year investment, would you choose Option C or Option B (6% compound)? Would your answer change for a 10-year investment? Use numbers.</t>
  </si>
  <si>
    <t>For 20 years choose Option B: $25,657.08 compared with $24,000.00 for Option C. For 10 years choose Option C: $16,000.00 compared with $14,326.78. Option B does not overtake Option C until Year 18.</t>
  </si>
  <si>
    <t>Task 2   A startup's innovation fund: interest rates and compounding periods</t>
  </si>
  <si>
    <t>A tech startup sets aside $50,000 in an innovation fund to pay for future research. Explore how the interest rate and the compounding frequency affect how the fund grows.</t>
  </si>
  <si>
    <t>Part A – different interest rates (compounding monthly)</t>
  </si>
  <si>
    <t>1. Part A: Year 0 is done for you. In B11, write ONE compound interest formula that can be filled across to E11 and then down to Year 20. Use A = P(1 + r/k)^(k × n), where k is the number of compounding periods per year.</t>
  </si>
  <si>
    <t>Compounding periods per year</t>
  </si>
  <si>
    <t>Annual interest rate</t>
  </si>
  <si>
    <t xml:space="preserve">    Hint: write the rate as B$8 and the year as $A11 so each stays locked in the right direction. Lock the amount invested and the periods per year completely ($B$5, $B$6).</t>
  </si>
  <si>
    <t>2. Part B: in B39, write one formula that can be filled across and down to Year 10. This time the rate is fixed (B33) and the periods per year change (row 36).</t>
  </si>
  <si>
    <t>Check: Part A, 6% after 20 years = $165,510.22. Part B, quarterly after 10 years = $90,700.92.</t>
  </si>
  <si>
    <t>Q1.  Part A: what is the fund worth after 20 years at each interest rate?</t>
  </si>
  <si>
    <t>4%: $111,129.10.  6%: $165,510.22.  8%: $246,340.14.  10%: $366,403.68.</t>
  </si>
  <si>
    <t>Q2.  When the rate doubles from 4% to 8%, does the interest earned over 20 years double? Explain using your numbers.</t>
  </si>
  <si>
    <t>No – it more than triples. Interest at 4% is $61,129.10; at 8% it is $196,340.14, about 3.2 times as much. With compound interest the extra interest also earns interest, so growth is not proportional to the rate.</t>
  </si>
  <si>
    <t>Q3.  Part A: by the end of which year has the fund first doubled to $100,000 at each rate?</t>
  </si>
  <si>
    <t>4%: Year 18.  6%: Year 12.  8%: Year 9.  10%: Year 7.</t>
  </si>
  <si>
    <t>Part B – different compounding periods (same rate)</t>
  </si>
  <si>
    <t>Q4.  Insert a line chart of Part A showing all four rates. What happens to the gap between the lines over time?</t>
  </si>
  <si>
    <t>The lines start together at $50,000 and spread further apart every year. The higher the rate, the steeper the curve, so the gap between the lines widens at an increasing rate.</t>
  </si>
  <si>
    <t>Compounding</t>
  </si>
  <si>
    <t>Annually</t>
  </si>
  <si>
    <t>Quarterly</t>
  </si>
  <si>
    <t>Monthly</t>
  </si>
  <si>
    <t>Daily</t>
  </si>
  <si>
    <t>Periods per year</t>
  </si>
  <si>
    <t>Annually ($)</t>
  </si>
  <si>
    <t>Quarterly ($)</t>
  </si>
  <si>
    <t>Monthly ($)</t>
  </si>
  <si>
    <t>Daily ($)</t>
  </si>
  <si>
    <t>Q5.  Part B: after 10 years, how much more does daily compounding earn than annual compounding? How much more does monthly earn than annual?</t>
  </si>
  <si>
    <t>Daily earns $1,559.06 more than annual ($91,101.45 compared with $89,542.38). Monthly earns $1,427.45 more than annual.</t>
  </si>
  <si>
    <t>Q6.  Which has the bigger effect on the fund after 10 years: raising the rate from 6% to 8% (compounding annually), or keeping 6% and changing from annual to daily compounding? Support your answer with numbers.</t>
  </si>
  <si>
    <t>Raising the rate. At 8% compounding annually the fund reaches $107,946.25 after 10 years, $18,403.87 more than at 6% annually. Changing from annual to daily compounding at 6% adds only $1,559.06. (To get the 8% figure, use a spare cell or temporarily change B33 to 8%.)</t>
  </si>
  <si>
    <t>Task 3   Depreciation of solar panels: straight-line vs declining balance</t>
  </si>
  <si>
    <t>A school installs a $12,000 rooftop solar system. Its value can be depreciated by a fixed amount each year (straight-line) or by a fixed percentage each year (declining balance).</t>
  </si>
  <si>
    <t>Cost of the solar system ($)</t>
  </si>
  <si>
    <t>1. Year 0 is done for you. In B12, write a formula for the straight-line value after 1 year: S = V0 − Dn. An asset cannot be worth less than $0, so wrap your formula in MAX(0, … ).</t>
  </si>
  <si>
    <t>Straight-line depreciation per year ($)</t>
  </si>
  <si>
    <t>Declining-balance rate per year</t>
  </si>
  <si>
    <t>2. In C12, write a formula for the declining-balance value: S = V0(1 − r)^n. In D12, find the difference.</t>
  </si>
  <si>
    <t>Straight-line value ($)</t>
  </si>
  <si>
    <t>Declining-balance value ($)</t>
  </si>
  <si>
    <t>Difference, straight-line − declining ($)</t>
  </si>
  <si>
    <t>Check: after 10 years the straight-line value should be $4,000.00 and the declining-balance value $2,362.49.</t>
  </si>
  <si>
    <t>Q1.  How much value does the system lose in its first 3 years under each method? Which method depreciates faster at the start?</t>
  </si>
  <si>
    <t>Straight-line loses $2,400.00. Declining balance loses $4,630.50. Declining balance is faster at the start because 15% of a large value is more than $800.</t>
  </si>
  <si>
    <t>Q2.  After how many years is the system worth $0 under straight-line depreciation? Does it ever reach $0 under declining balance? Explain.</t>
  </si>
  <si>
    <t>15 years (12,000 ÷ 800). Under declining balance it never reaches $0, because each year it keeps 85% of its previous value; after 20 years it is still worth $465.11.</t>
  </si>
  <si>
    <t>Q3.  In which year does the straight-line value first fall below the declining-balance value?</t>
  </si>
  <si>
    <t>Year 14: straight-line $800.00, declining balance $1,233.24. Column D first becomes negative in that year.</t>
  </si>
  <si>
    <t>Q4.  Insert a line chart showing both methods over 20 years. Describe the shape of each graph.</t>
  </si>
  <si>
    <t>Straight-line is a straight line falling by $800 a year until it reaches $0 at Year 15, then it stays flat. Declining balance is a curve that falls steeply at first and then flattens, getting closer to $0 without reaching it (exponential decay).</t>
  </si>
  <si>
    <t>Q5.  The school will replace the system once its value falls below $2,000. In which year does this happen under each method?</t>
  </si>
  <si>
    <t>Straight-line: Year 13 ($1,600.00). Declining balance: Year 12 ($1,706.90).</t>
  </si>
  <si>
    <t>Q6.  Extension: by changing B7, find the declining-balance rate (to 1 decimal place) that gives about the same value as straight-line after 10 years. Change it back to 15% afterwards.</t>
  </si>
  <si>
    <t>About 10.4% p.a. At that rate the declining-balance value after 10 years is $4,001.85, close to the straight-line value of $4,000.00.</t>
  </si>
  <si>
    <t>Task 4   A reducing balance loan for a community project</t>
  </si>
  <si>
    <t>A community group borrows $180,000 to build a neighbourhood hall and shared garden. Interest is charged monthly on the balance owing, and the group makes a fixed repayment each month.</t>
  </si>
  <si>
    <t>Loan amount ($)</t>
  </si>
  <si>
    <t>1. Month 1 is done for you. Click each cell in row 16 to see how it works: interest = opening balance × monthly rate, and closing balance = opening balance + interest − repayment.</t>
  </si>
  <si>
    <t>Monthly repayment ($)</t>
  </si>
  <si>
    <t>2. In B17, link the opening balance to last month's closing balance. Then write the formulas for interest, repayment and closing balance in C17, D17 and E17, using row 16 as your guide.</t>
  </si>
  <si>
    <t>Monthly interest rate (= B6 ÷ 12)</t>
  </si>
  <si>
    <t>Summary – complete after your table</t>
  </si>
  <si>
    <t>3. Fill row 17 down to Month 180. The MIN in the repayment formula makes the final repayment smaller; rows after the loan is cleared will show a dash.</t>
  </si>
  <si>
    <t>Number of repayments needed</t>
  </si>
  <si>
    <t>Total repaid ($)</t>
  </si>
  <si>
    <t>4. Complete the summary cells B11:B13. Hints: =COUNTIF(D16:D195,"&gt;0") counts the repayments made, and =SUM( ) adds a column.</t>
  </si>
  <si>
    <t>Total interest paid ($)</t>
  </si>
  <si>
    <t>Check: the closing balance after Month 12 should be $165,361.21.</t>
  </si>
  <si>
    <t>Month</t>
  </si>
  <si>
    <t>Opening balance ($)</t>
  </si>
  <si>
    <t>Interest ($)</t>
  </si>
  <si>
    <t>Repayment ($)</t>
  </si>
  <si>
    <t>Closing balance ($)</t>
  </si>
  <si>
    <t>Q1.  How much is still owing after 1 year? After 5 years?</t>
  </si>
  <si>
    <t>After 1 year (Month 12): $165,361.21. After 5 years (Month 60): $98,241.38.</t>
  </si>
  <si>
    <t>Q2.  How many monthly repayments are needed to clear the loan? Write this in years and months.</t>
  </si>
  <si>
    <t>116 repayments, which is 9 years and 8 months. The last repayment is smaller than $2,000.</t>
  </si>
  <si>
    <t>Q3.  How much interest does the group pay in total? What percentage of the amount borrowed is this?</t>
  </si>
  <si>
    <t>$51,272.68, which is 28.5% of the $180,000 borrowed. Total repaid is $231,272.68.</t>
  </si>
  <si>
    <t>Q4.  Extra fundraising lifts the repayment to $2,500 a month. How much time and how much interest does this save? (Change B7, then change it back to 2,000.)</t>
  </si>
  <si>
    <t>The loan is cleared in 88 repayments (7 years and 4 months), which is 28 months sooner. Interest falls to $38,024.57, a saving of $13,248.10.</t>
  </si>
  <si>
    <t>Q5.  With the repayment back at $2,000, the interest rate rises to 6.9% p.a. How many repayments are needed now, and how much extra interest is paid? (Change B6, then change it back to 5.4%.)</t>
  </si>
  <si>
    <t>128 repayments (10 years and 8 months), 12 more than before. Total interest rises to $74,215.36, an extra $22,942.68.</t>
  </si>
  <si>
    <t>Q6.  Change the repayment to $810. What happens to the balance, and why? What does this tell you about the smallest repayment that would ever pay off this loan? (Change it back to 2,000.)</t>
  </si>
  <si>
    <t>The balance stays at $180,000 forever. The first month's interest is 180,000 × 0.45% = $810, so an $810 repayment only pays the interest and none of the loan. The repayment must be more than $810 for the balance to fall.</t>
  </si>
  <si>
    <t>Q7.  Insert a line chart of the closing balance against the month. Describe its shape. Why does the balance fall slowly at first and faster later?</t>
  </si>
  <si>
    <t>The graph curves downwards, getting steeper until it reaches $0. Early on, most of each $2,000 is interest ($810 in Month 1), so little comes off the balance. As the balance falls the interest falls, so more of each repayment reduces the loan.</t>
  </si>
  <si>
    <t>Task 5   Two more reducing balance loans: sustainable agriculture and IT infrastructure</t>
  </si>
  <si>
    <t>This time you build the whole model. Use the PMT function to find the repayment that clears each loan exactly, then build the loan table to check it.</t>
  </si>
  <si>
    <t>Part A – Sustainable agriculture loan</t>
  </si>
  <si>
    <t>Part B – IT infrastructure loan</t>
  </si>
  <si>
    <t>A farming co-operative borrows $95,000 to install drip irrigation and soil-moisture sensors. Interest is 7.2% p.a. with quarterly repayments over 6 years.</t>
  </si>
  <si>
    <t>A school borrows $60,000 to replace its servers and wi-fi network. Interest is 8.4% p.a. with monthly repayments over 4 years.</t>
  </si>
  <si>
    <t>1. For each loan, calculate the interest rate per period and the number of repayments (rows 12 and 13).</t>
  </si>
  <si>
    <t>2. In row 14, find the repayment that clears the loan exactly, using =-PMT(rate per period, number of repayments, loan amount). The minus sign makes the answer positive.</t>
  </si>
  <si>
    <t>3. Build each loan table yourself, using the same formulas as Task 4. The repayment column should simply refer to your repayment cell, locked with $ signs (no MIN needed this time).</t>
  </si>
  <si>
    <t>Repayments per year</t>
  </si>
  <si>
    <t>Loan term (years)</t>
  </si>
  <si>
    <t>4. Complete the totals in rows 15 and 16.</t>
  </si>
  <si>
    <t>Interest rate per period</t>
  </si>
  <si>
    <t>Check: the final closing balance of each loan should be $0.00.</t>
  </si>
  <si>
    <t>Number of repayments</t>
  </si>
  <si>
    <t>Repayment each period ($)</t>
  </si>
  <si>
    <t>Q1.  What is the repayment for each loan?</t>
  </si>
  <si>
    <t>Agriculture: $4,909.68 per quarter. IT: $1,476.07 per month.</t>
  </si>
  <si>
    <t>Quarter</t>
  </si>
  <si>
    <t>Q2.  How much interest is paid on each loan in total? Which loan pays more interest as a percentage of the amount borrowed, and why?</t>
  </si>
  <si>
    <t>Agriculture: $22,832.30 (24.0% of the loan). IT: $10,851.22 (18.1%). The agriculture loan pays more as a percentage even though its rate is lower, because it runs for 6 years instead of 4, so interest is charged for longer.</t>
  </si>
  <si>
    <t>Q3.  The final closing balance of each loan is $0.00. What does this tell you about the PMT function?</t>
  </si>
  <si>
    <t>PMT calculates exactly the repayment needed so that the balance reaches zero after the chosen number of repayments. The table confirms the PMT answer.</t>
  </si>
  <si>
    <t>Q4.  IT loan: in a spare cell, use PMT to find the monthly repayment if the school repaid over 3 years instead of 4. How much interest would be saved? (Total interest = repayment × number of repayments − loan amount.)</t>
  </si>
  <si>
    <t>The repayment rises to $1,891.27 a month ($415.21 more). Total interest is $8,085.84, a saving of $2,765.38.</t>
  </si>
  <si>
    <t>Q5.  Agriculture loan: after a poor season the co-op can only afford $4,000 a quarter. Type 4000 over your repayment formula in B14. How much is still owing after 6 years? (Press Ctrl+Z afterwards to bring your formula back.)</t>
  </si>
  <si>
    <t>$27,008.81 is still owing after 24 quarters. A repayment about $909.68 lower each quarter leaves a large balance, because the unpaid amounts also attract interest.</t>
  </si>
  <si>
    <t>Q6.  Insert a line chart of the closing balance for one of the loans. Then, looking back at Tasks 4 and 5, describe two ways a borrower can reduce the total interest paid on a reducing balance loan.</t>
  </si>
  <si>
    <t>Any two of: make larger repayments; repay over a shorter term; find a lower interest rate; make repayments more often; borrow less to begin with. Each one reduces the balance faster or reduces the interest charged on it.</t>
  </si>
  <si>
    <t>Investments, Depreciation and Loans – Spreadsheet Homework –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</si>
</sst>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7" formatCode="0.000%"/>
    <numFmt numFmtId="168" formatCode="\$#,##0.00;[Red]&quot;-$&quot;#,##0.00;\-"/>
  </numFmts>
  <fonts count="7" x14ac:knownFonts="1">
    <font>
      <sz val="10"/>
      <name val="Arial"/>
      <charset val="1"/>
    </font>
    <font>
      <b/>
      <sz val="16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name val="Arial"/>
      <family val="2"/>
    </font>
    <font>
      <b/>
      <sz val="11"/>
      <color rgb="FF1F4E5F"/>
      <name val="Arial"/>
      <family val="2"/>
    </font>
    <font>
      <sz val="10"/>
      <color rgb="FF0000FF"/>
      <name val="Arial"/>
      <family val="2"/>
    </font>
    <font>
      <b/>
      <sz val="10"/>
      <color rgb="FF1F4E5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404040"/>
      </patternFill>
    </fill>
    <fill>
      <patternFill patternType="solid">
        <fgColor rgb="FFE2F0D9"/>
        <bgColor rgb="FFD9E7EC"/>
      </patternFill>
    </fill>
    <fill>
      <patternFill patternType="solid">
        <fgColor rgb="FFFFF2A8"/>
        <bgColor rgb="FFFFFFCC"/>
      </patternFill>
    </fill>
    <fill>
      <patternFill patternType="solid">
        <fgColor rgb="FFDDEBF7"/>
        <bgColor rgb="FFD9E7EC"/>
      </patternFill>
    </fill>
    <fill>
      <patternFill patternType="solid">
        <fgColor rgb="FFD9E7EC"/>
        <bgColor rgb="FFDDEB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164" fontId="5" fillId="5" borderId="1" xfId="0" applyNumberFormat="1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5" fillId="5" borderId="1" xfId="0" applyNumberFormat="1" applyFont="1" applyFill="1" applyBorder="1"/>
    <xf numFmtId="1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1" fontId="5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167" fontId="0" fillId="0" borderId="1" xfId="0" applyNumberFormat="1" applyBorder="1"/>
    <xf numFmtId="1" fontId="0" fillId="3" borderId="1" xfId="0" applyNumberFormat="1" applyFill="1" applyBorder="1"/>
    <xf numFmtId="168" fontId="0" fillId="0" borderId="1" xfId="0" applyNumberFormat="1" applyBorder="1"/>
    <xf numFmtId="168" fontId="0" fillId="3" borderId="1" xfId="0" applyNumberFormat="1" applyFill="1" applyBorder="1"/>
    <xf numFmtId="167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EC"/>
      <rgbColor rgb="FFE2F0D9"/>
      <rgbColor rgb="FFFFF2A8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A6A6A6"/>
      <rgbColor rgb="FF1F4E5F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Tech startup investment: Option A vs Option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1 Startup'!$B$10</c:f>
              <c:strCache>
                <c:ptCount val="1"/>
                <c:pt idx="0">
                  <c:v>Option A value ($)</c:v>
                </c:pt>
              </c:strCache>
            </c:strRef>
          </c:tx>
          <c:spPr>
            <a:ln w="24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1 Startup'!$A$11:$A$31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1 Startup'!$B$11:$B$31</c:f>
              <c:numCache>
                <c:formatCode>\$#,##0.00</c:formatCode>
                <c:ptCount val="21"/>
                <c:pt idx="0">
                  <c:v>8000</c:v>
                </c:pt>
                <c:pt idx="1">
                  <c:v>8600</c:v>
                </c:pt>
                <c:pt idx="2">
                  <c:v>9200</c:v>
                </c:pt>
                <c:pt idx="3">
                  <c:v>9800</c:v>
                </c:pt>
                <c:pt idx="4">
                  <c:v>10400</c:v>
                </c:pt>
                <c:pt idx="5">
                  <c:v>11000</c:v>
                </c:pt>
                <c:pt idx="6">
                  <c:v>11600</c:v>
                </c:pt>
                <c:pt idx="7">
                  <c:v>12200</c:v>
                </c:pt>
                <c:pt idx="8">
                  <c:v>12800</c:v>
                </c:pt>
                <c:pt idx="9">
                  <c:v>13399.999999999998</c:v>
                </c:pt>
                <c:pt idx="10">
                  <c:v>14000</c:v>
                </c:pt>
                <c:pt idx="11">
                  <c:v>14600</c:v>
                </c:pt>
                <c:pt idx="12">
                  <c:v>15200</c:v>
                </c:pt>
                <c:pt idx="13">
                  <c:v>15800</c:v>
                </c:pt>
                <c:pt idx="14">
                  <c:v>16400</c:v>
                </c:pt>
                <c:pt idx="15">
                  <c:v>17000</c:v>
                </c:pt>
                <c:pt idx="16">
                  <c:v>17600</c:v>
                </c:pt>
                <c:pt idx="17">
                  <c:v>18200</c:v>
                </c:pt>
                <c:pt idx="18">
                  <c:v>18799.999999999996</c:v>
                </c:pt>
                <c:pt idx="19">
                  <c:v>19400</c:v>
                </c:pt>
                <c:pt idx="20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A-E24D-AD6D-ACC429CEF87A}"/>
            </c:ext>
          </c:extLst>
        </c:ser>
        <c:ser>
          <c:idx val="1"/>
          <c:order val="1"/>
          <c:tx>
            <c:strRef>
              <c:f>'Task 1 Startup'!$C$10</c:f>
              <c:strCache>
                <c:ptCount val="1"/>
                <c:pt idx="0">
                  <c:v>Option B value ($)</c:v>
                </c:pt>
              </c:strCache>
            </c:strRef>
          </c:tx>
          <c:spPr>
            <a:ln w="24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1 Startup'!$A$11:$A$31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1 Startup'!$C$11:$C$31</c:f>
              <c:numCache>
                <c:formatCode>\$#,##0.00</c:formatCode>
                <c:ptCount val="21"/>
                <c:pt idx="0">
                  <c:v>8000</c:v>
                </c:pt>
                <c:pt idx="1">
                  <c:v>8480</c:v>
                </c:pt>
                <c:pt idx="2">
                  <c:v>8988.8000000000011</c:v>
                </c:pt>
                <c:pt idx="3">
                  <c:v>9528.1280000000024</c:v>
                </c:pt>
                <c:pt idx="4">
                  <c:v>10099.815680000003</c:v>
                </c:pt>
                <c:pt idx="5">
                  <c:v>10705.804620800003</c:v>
                </c:pt>
                <c:pt idx="6">
                  <c:v>11348.152898048005</c:v>
                </c:pt>
                <c:pt idx="7">
                  <c:v>12029.042071930886</c:v>
                </c:pt>
                <c:pt idx="8">
                  <c:v>12750.784596246738</c:v>
                </c:pt>
                <c:pt idx="9">
                  <c:v>13515.831672021543</c:v>
                </c:pt>
                <c:pt idx="10">
                  <c:v>14326.781572342838</c:v>
                </c:pt>
                <c:pt idx="11">
                  <c:v>15186.388466683409</c:v>
                </c:pt>
                <c:pt idx="12">
                  <c:v>16097.571774684415</c:v>
                </c:pt>
                <c:pt idx="13">
                  <c:v>17063.426081165482</c:v>
                </c:pt>
                <c:pt idx="14">
                  <c:v>18087.231646035409</c:v>
                </c:pt>
                <c:pt idx="15">
                  <c:v>19172.465544797538</c:v>
                </c:pt>
                <c:pt idx="16">
                  <c:v>20322.813477485386</c:v>
                </c:pt>
                <c:pt idx="17">
                  <c:v>21542.182286134514</c:v>
                </c:pt>
                <c:pt idx="18">
                  <c:v>22834.713223302584</c:v>
                </c:pt>
                <c:pt idx="19">
                  <c:v>24204.79601670074</c:v>
                </c:pt>
                <c:pt idx="20">
                  <c:v>25657.083777702785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A-E24D-AD6D-ACC429CE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092294"/>
        <c:axId val="8749082"/>
      </c:lineChart>
      <c:catAx>
        <c:axId val="78092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9082"/>
        <c:crosses val="autoZero"/>
        <c:auto val="1"/>
        <c:lblAlgn val="ctr"/>
        <c:lblOffset val="100"/>
        <c:noMultiLvlLbl val="0"/>
      </c:catAx>
      <c:valAx>
        <c:axId val="8749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Value of investment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922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Innovation fund: growth at different interest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2 Innovation fund'!$B$9</c:f>
              <c:strCache>
                <c:ptCount val="1"/>
                <c:pt idx="0">
                  <c:v>4% p.a. ($)</c:v>
                </c:pt>
              </c:strCache>
            </c:strRef>
          </c:tx>
          <c:spPr>
            <a:ln w="24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2 Innovation fund'!$A$10:$A$30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2 Innovation fund'!$B$10:$B$30</c:f>
              <c:numCache>
                <c:formatCode>\$#,##0.00</c:formatCode>
                <c:ptCount val="21"/>
                <c:pt idx="0">
                  <c:v>50000</c:v>
                </c:pt>
                <c:pt idx="1">
                  <c:v>52037.07714598954</c:v>
                </c:pt>
                <c:pt idx="2">
                  <c:v>54157.147957953333</c:v>
                </c:pt>
                <c:pt idx="3">
                  <c:v>56363.593725895742</c:v>
                </c:pt>
                <c:pt idx="4">
                  <c:v>58659.933498792983</c:v>
                </c:pt>
                <c:pt idx="5">
                  <c:v>61049.829697106128</c:v>
                </c:pt>
                <c:pt idx="6">
                  <c:v>63537.09395395669</c:v>
                </c:pt>
                <c:pt idx="7">
                  <c:v>66125.693194280597</c:v>
                </c:pt>
                <c:pt idx="8">
                  <c:v>68819.755961656294</c:v>
                </c:pt>
                <c:pt idx="9">
                  <c:v>71623.579002897633</c:v>
                </c:pt>
                <c:pt idx="10">
                  <c:v>74541.634120913208</c:v>
                </c:pt>
                <c:pt idx="11">
                  <c:v>77578.575306761748</c:v>
                </c:pt>
                <c:pt idx="12">
                  <c:v>80739.246162278389</c:v>
                </c:pt>
                <c:pt idx="13">
                  <c:v>84028.687625110426</c:v>
                </c:pt>
                <c:pt idx="14">
                  <c:v>87452.146008482538</c:v>
                </c:pt>
                <c:pt idx="15">
                  <c:v>91015.081368514933</c:v>
                </c:pt>
                <c:pt idx="16">
                  <c:v>94723.176212438528</c:v>
                </c:pt>
                <c:pt idx="17">
                  <c:v>98582.344561596503</c:v>
                </c:pt>
                <c:pt idx="18">
                  <c:v>102598.74138368639</c:v>
                </c:pt>
                <c:pt idx="19">
                  <c:v>106778.77240928635</c:v>
                </c:pt>
                <c:pt idx="20">
                  <c:v>111129.10434832187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8-D041-8AF1-3DD6CE652995}"/>
            </c:ext>
          </c:extLst>
        </c:ser>
        <c:ser>
          <c:idx val="1"/>
          <c:order val="1"/>
          <c:tx>
            <c:strRef>
              <c:f>'Task 2 Innovation fund'!$C$9</c:f>
              <c:strCache>
                <c:ptCount val="1"/>
                <c:pt idx="0">
                  <c:v>6% p.a. ($)</c:v>
                </c:pt>
              </c:strCache>
            </c:strRef>
          </c:tx>
          <c:spPr>
            <a:ln w="24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2 Innovation fund'!$A$10:$A$30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2 Innovation fund'!$C$10:$C$30</c:f>
              <c:numCache>
                <c:formatCode>\$#,##0.00</c:formatCode>
                <c:ptCount val="21"/>
                <c:pt idx="0">
                  <c:v>50000</c:v>
                </c:pt>
                <c:pt idx="1">
                  <c:v>53083.890593224882</c:v>
                </c:pt>
                <c:pt idx="2">
                  <c:v>56357.988810269388</c:v>
                </c:pt>
                <c:pt idx="3">
                  <c:v>59834.026241170635</c:v>
                </c:pt>
                <c:pt idx="4">
                  <c:v>63524.458054768977</c:v>
                </c:pt>
                <c:pt idx="5">
                  <c:v>67442.50762746518</c:v>
                </c:pt>
                <c:pt idx="6">
                  <c:v>71602.213924581942</c:v>
                </c:pt>
                <c:pt idx="7">
                  <c:v>76018.481804103823</c:v>
                </c:pt>
                <c:pt idx="8">
                  <c:v>80707.135423042069</c:v>
                </c:pt>
                <c:pt idx="9">
                  <c:v>85684.974937786988</c:v>
                </c:pt>
                <c:pt idx="10">
                  <c:v>90969.836701614011</c:v>
                </c:pt>
                <c:pt idx="11">
                  <c:v>96580.657175040236</c:v>
                </c:pt>
                <c:pt idx="12">
                  <c:v>102537.54077803189</c:v>
                </c:pt>
                <c:pt idx="13">
                  <c:v>108861.83192718761</c:v>
                </c:pt>
                <c:pt idx="14">
                  <c:v>115576.19151601725</c:v>
                </c:pt>
                <c:pt idx="15">
                  <c:v>122704.6781123573</c:v>
                </c:pt>
                <c:pt idx="16">
                  <c:v>130272.83416386502</c:v>
                </c:pt>
                <c:pt idx="17">
                  <c:v>138307.77752047879</c:v>
                </c:pt>
                <c:pt idx="18">
                  <c:v>146838.2986017837</c:v>
                </c:pt>
                <c:pt idx="19">
                  <c:v>155894.96355744739</c:v>
                </c:pt>
                <c:pt idx="20">
                  <c:v>165510.22379036635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8-D041-8AF1-3DD6CE652995}"/>
            </c:ext>
          </c:extLst>
        </c:ser>
        <c:ser>
          <c:idx val="2"/>
          <c:order val="2"/>
          <c:tx>
            <c:strRef>
              <c:f>'Task 2 Innovation fund'!$D$9</c:f>
              <c:strCache>
                <c:ptCount val="1"/>
                <c:pt idx="0">
                  <c:v>8% p.a. ($)</c:v>
                </c:pt>
              </c:strCache>
            </c:strRef>
          </c:tx>
          <c:spPr>
            <a:ln w="241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2 Innovation fund'!$A$10:$A$30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2 Innovation fund'!$D$10:$D$30</c:f>
              <c:numCache>
                <c:formatCode>\$#,##0.00</c:formatCode>
                <c:ptCount val="21"/>
                <c:pt idx="0">
                  <c:v>50000</c:v>
                </c:pt>
                <c:pt idx="1">
                  <c:v>54149.975340375502</c:v>
                </c:pt>
                <c:pt idx="2">
                  <c:v>58644.396587265503</c:v>
                </c:pt>
                <c:pt idx="3">
                  <c:v>63511.852581032559</c:v>
                </c:pt>
                <c:pt idx="4">
                  <c:v>68783.30502168955</c:v>
                </c:pt>
                <c:pt idx="5">
                  <c:v>74492.285415080303</c:v>
                </c:pt>
                <c:pt idx="6">
                  <c:v>80675.108365496242</c:v>
                </c:pt>
                <c:pt idx="7">
                  <c:v>87371.102571474854</c:v>
                </c:pt>
                <c:pt idx="8">
                  <c:v>94622.860994135655</c:v>
                </c:pt>
                <c:pt idx="9">
                  <c:v>102476.51178936448</c:v>
                </c:pt>
                <c:pt idx="10">
                  <c:v>110982.01172723572</c:v>
                </c:pt>
                <c:pt idx="11">
                  <c:v>120193.46396510158</c:v>
                </c:pt>
                <c:pt idx="12">
                  <c:v>130169.46219569123</c:v>
                </c:pt>
                <c:pt idx="13">
                  <c:v>140973.46335933241</c:v>
                </c:pt>
                <c:pt idx="14">
                  <c:v>152674.19129110361</c:v>
                </c:pt>
                <c:pt idx="15">
                  <c:v>165346.07387050064</c:v>
                </c:pt>
                <c:pt idx="16">
                  <c:v>179069.71645431031</c:v>
                </c:pt>
                <c:pt idx="17">
                  <c:v>193932.41460417872</c:v>
                </c:pt>
                <c:pt idx="18">
                  <c:v>210028.70937031513</c:v>
                </c:pt>
                <c:pt idx="19">
                  <c:v>227460.98866346912</c:v>
                </c:pt>
                <c:pt idx="20">
                  <c:v>246340.1385404857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8-D041-8AF1-3DD6CE652995}"/>
            </c:ext>
          </c:extLst>
        </c:ser>
        <c:ser>
          <c:idx val="3"/>
          <c:order val="3"/>
          <c:tx>
            <c:strRef>
              <c:f>'Task 2 Innovation fund'!$E$9</c:f>
              <c:strCache>
                <c:ptCount val="1"/>
                <c:pt idx="0">
                  <c:v>10% p.a. ($)</c:v>
                </c:pt>
              </c:strCache>
            </c:strRef>
          </c:tx>
          <c:spPr>
            <a:ln w="241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2 Innovation fund'!$A$10:$A$30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2 Innovation fund'!$E$10:$E$30</c:f>
              <c:numCache>
                <c:formatCode>\$#,##0.00</c:formatCode>
                <c:ptCount val="21"/>
                <c:pt idx="0">
                  <c:v>50000</c:v>
                </c:pt>
                <c:pt idx="1">
                  <c:v>55235.653372064844</c:v>
                </c:pt>
                <c:pt idx="2">
                  <c:v>61019.548068777949</c:v>
                </c:pt>
                <c:pt idx="3">
                  <c:v>67409.092120941335</c:v>
                </c:pt>
                <c:pt idx="4">
                  <c:v>74467.704930358057</c:v>
                </c:pt>
                <c:pt idx="5">
                  <c:v>82265.44673892924</c:v>
                </c:pt>
                <c:pt idx="6">
                  <c:v>90879.71401139113</c:v>
                </c:pt>
                <c:pt idx="7">
                  <c:v>100396.00763371168</c:v>
                </c:pt>
                <c:pt idx="8">
                  <c:v>110908.7815518975</c:v>
                </c:pt>
                <c:pt idx="9">
                  <c:v>122522.38027437338</c:v>
                </c:pt>
                <c:pt idx="10">
                  <c:v>135352.07454311204</c:v>
                </c:pt>
                <c:pt idx="11">
                  <c:v>149525.20545306432</c:v>
                </c:pt>
                <c:pt idx="12">
                  <c:v>165182.4483758448</c:v>
                </c:pt>
                <c:pt idx="13">
                  <c:v>182479.20923274319</c:v>
                </c:pt>
                <c:pt idx="14">
                  <c:v>201587.1669757659</c:v>
                </c:pt>
                <c:pt idx="15">
                  <c:v>222695.97758659921</c:v>
                </c:pt>
                <c:pt idx="16">
                  <c:v>246015.15650653027</c:v>
                </c:pt>
                <c:pt idx="17">
                  <c:v>271776.15818137978</c:v>
                </c:pt>
                <c:pt idx="18">
                  <c:v>300234.67336196313</c:v>
                </c:pt>
                <c:pt idx="19">
                  <c:v>331673.16696193005</c:v>
                </c:pt>
                <c:pt idx="20">
                  <c:v>366403.68166248314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8-D041-8AF1-3DD6CE65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454681"/>
        <c:axId val="67151119"/>
      </c:lineChart>
      <c:catAx>
        <c:axId val="26454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51119"/>
        <c:crosses val="autoZero"/>
        <c:auto val="1"/>
        <c:lblAlgn val="ctr"/>
        <c:lblOffset val="100"/>
        <c:noMultiLvlLbl val="0"/>
      </c:catAx>
      <c:valAx>
        <c:axId val="67151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Value of fund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546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Value of the solar system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3 Solar panels'!$B$10</c:f>
              <c:strCache>
                <c:ptCount val="1"/>
                <c:pt idx="0">
                  <c:v>Straight-line value ($)</c:v>
                </c:pt>
              </c:strCache>
            </c:strRef>
          </c:tx>
          <c:spPr>
            <a:ln w="24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3 Solar panels'!$A$11:$A$31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3 Solar panels'!$B$11:$B$31</c:f>
              <c:numCache>
                <c:formatCode>\$#,##0.00</c:formatCode>
                <c:ptCount val="21"/>
                <c:pt idx="0">
                  <c:v>12000</c:v>
                </c:pt>
                <c:pt idx="1">
                  <c:v>11200</c:v>
                </c:pt>
                <c:pt idx="2">
                  <c:v>10400</c:v>
                </c:pt>
                <c:pt idx="3">
                  <c:v>9600</c:v>
                </c:pt>
                <c:pt idx="4">
                  <c:v>8800</c:v>
                </c:pt>
                <c:pt idx="5">
                  <c:v>8000</c:v>
                </c:pt>
                <c:pt idx="6">
                  <c:v>7200</c:v>
                </c:pt>
                <c:pt idx="7">
                  <c:v>6400</c:v>
                </c:pt>
                <c:pt idx="8">
                  <c:v>5600</c:v>
                </c:pt>
                <c:pt idx="9">
                  <c:v>4800</c:v>
                </c:pt>
                <c:pt idx="10">
                  <c:v>4000</c:v>
                </c:pt>
                <c:pt idx="11">
                  <c:v>3200</c:v>
                </c:pt>
                <c:pt idx="12">
                  <c:v>2400</c:v>
                </c:pt>
                <c:pt idx="13">
                  <c:v>1600</c:v>
                </c:pt>
                <c:pt idx="14">
                  <c:v>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2-BB4A-BAE5-8CD6C230D336}"/>
            </c:ext>
          </c:extLst>
        </c:ser>
        <c:ser>
          <c:idx val="1"/>
          <c:order val="1"/>
          <c:tx>
            <c:strRef>
              <c:f>'Task 3 Solar panels'!$C$10</c:f>
              <c:strCache>
                <c:ptCount val="1"/>
                <c:pt idx="0">
                  <c:v>Declining-balance value ($)</c:v>
                </c:pt>
              </c:strCache>
            </c:strRef>
          </c:tx>
          <c:spPr>
            <a:ln w="241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3 Solar panels'!$A$11:$A$31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'Task 3 Solar panels'!$C$11:$C$31</c:f>
              <c:numCache>
                <c:formatCode>\$#,##0.00</c:formatCode>
                <c:ptCount val="21"/>
                <c:pt idx="0">
                  <c:v>12000</c:v>
                </c:pt>
                <c:pt idx="1">
                  <c:v>10200</c:v>
                </c:pt>
                <c:pt idx="2">
                  <c:v>8669.9999999999982</c:v>
                </c:pt>
                <c:pt idx="3">
                  <c:v>7369.4999999999991</c:v>
                </c:pt>
                <c:pt idx="4">
                  <c:v>6264.0749999999989</c:v>
                </c:pt>
                <c:pt idx="5">
                  <c:v>5324.463749999999</c:v>
                </c:pt>
                <c:pt idx="6">
                  <c:v>4525.7941874999988</c:v>
                </c:pt>
                <c:pt idx="7">
                  <c:v>3846.9250593749985</c:v>
                </c:pt>
                <c:pt idx="8">
                  <c:v>3269.8863004687487</c:v>
                </c:pt>
                <c:pt idx="9">
                  <c:v>2779.4033553984364</c:v>
                </c:pt>
                <c:pt idx="10">
                  <c:v>2362.4928520886706</c:v>
                </c:pt>
                <c:pt idx="11">
                  <c:v>2008.1189242753701</c:v>
                </c:pt>
                <c:pt idx="12">
                  <c:v>1706.9010856340644</c:v>
                </c:pt>
                <c:pt idx="13">
                  <c:v>1450.8659227889548</c:v>
                </c:pt>
                <c:pt idx="14">
                  <c:v>1233.2360343706114</c:v>
                </c:pt>
                <c:pt idx="15">
                  <c:v>1048.2506292150194</c:v>
                </c:pt>
                <c:pt idx="16">
                  <c:v>891.01303483276683</c:v>
                </c:pt>
                <c:pt idx="17">
                  <c:v>757.36107960785171</c:v>
                </c:pt>
                <c:pt idx="18">
                  <c:v>643.75691766667398</c:v>
                </c:pt>
                <c:pt idx="19">
                  <c:v>547.19338001667279</c:v>
                </c:pt>
                <c:pt idx="20">
                  <c:v>465.11437301417192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2-BB4A-BAE5-8CD6C230D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768289"/>
        <c:axId val="30226410"/>
      </c:lineChart>
      <c:catAx>
        <c:axId val="25768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26410"/>
        <c:crosses val="autoZero"/>
        <c:auto val="1"/>
        <c:lblAlgn val="ctr"/>
        <c:lblOffset val="100"/>
        <c:noMultiLvlLbl val="0"/>
      </c:catAx>
      <c:valAx>
        <c:axId val="30226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682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Community loan: balance owing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4 Community loan'!$E$15</c:f>
              <c:strCache>
                <c:ptCount val="1"/>
                <c:pt idx="0">
                  <c:v>Closing balance ($)</c:v>
                </c:pt>
              </c:strCache>
            </c:strRef>
          </c:tx>
          <c:spPr>
            <a:ln w="24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4 Community loan'!$A$16:$A$195</c:f>
              <c:numCache>
                <c:formatCode>0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cat>
          <c:val>
            <c:numRef>
              <c:f>'Task 4 Community loan'!$E$16:$E$195</c:f>
              <c:numCache>
                <c:formatCode>\$#,##0.00;[Red]"-$"#,##0.00;\-</c:formatCode>
                <c:ptCount val="180"/>
                <c:pt idx="0">
                  <c:v>178810</c:v>
                </c:pt>
                <c:pt idx="1">
                  <c:v>177614.64499999999</c:v>
                </c:pt>
                <c:pt idx="2">
                  <c:v>176413.91090249998</c:v>
                </c:pt>
                <c:pt idx="3">
                  <c:v>175207.77350156123</c:v>
                </c:pt>
                <c:pt idx="4">
                  <c:v>173996.20848231827</c:v>
                </c:pt>
                <c:pt idx="5">
                  <c:v>172779.1914204887</c:v>
                </c:pt>
                <c:pt idx="6">
                  <c:v>171556.69778188091</c:v>
                </c:pt>
                <c:pt idx="7">
                  <c:v>170328.70292189938</c:v>
                </c:pt>
                <c:pt idx="8">
                  <c:v>169095.18208504794</c:v>
                </c:pt>
                <c:pt idx="9">
                  <c:v>167856.11040443066</c:v>
                </c:pt>
                <c:pt idx="10">
                  <c:v>166611.4629012506</c:v>
                </c:pt>
                <c:pt idx="11">
                  <c:v>165361.21448430623</c:v>
                </c:pt>
                <c:pt idx="12">
                  <c:v>164105.33994948561</c:v>
                </c:pt>
                <c:pt idx="13">
                  <c:v>162843.8139792583</c:v>
                </c:pt>
                <c:pt idx="14">
                  <c:v>161576.61114216497</c:v>
                </c:pt>
                <c:pt idx="15">
                  <c:v>160303.70589230472</c:v>
                </c:pt>
                <c:pt idx="16">
                  <c:v>159025.07256882009</c:v>
                </c:pt>
                <c:pt idx="17">
                  <c:v>157740.68539537978</c:v>
                </c:pt>
                <c:pt idx="18">
                  <c:v>156450.51847965899</c:v>
                </c:pt>
                <c:pt idx="19">
                  <c:v>155154.54581281747</c:v>
                </c:pt>
                <c:pt idx="20">
                  <c:v>153852.74126897514</c:v>
                </c:pt>
                <c:pt idx="21">
                  <c:v>152545.07860468552</c:v>
                </c:pt>
                <c:pt idx="22">
                  <c:v>151231.53145840659</c:v>
                </c:pt>
                <c:pt idx="23">
                  <c:v>149912.07334996943</c:v>
                </c:pt>
                <c:pt idx="24">
                  <c:v>148586.67768004429</c:v>
                </c:pt>
                <c:pt idx="25">
                  <c:v>147255.31772960449</c:v>
                </c:pt>
                <c:pt idx="26">
                  <c:v>145917.96665938772</c:v>
                </c:pt>
                <c:pt idx="27">
                  <c:v>144574.59750935496</c:v>
                </c:pt>
                <c:pt idx="28">
                  <c:v>143225.18319814708</c:v>
                </c:pt>
                <c:pt idx="29">
                  <c:v>141869.69652253872</c:v>
                </c:pt>
                <c:pt idx="30">
                  <c:v>140508.11015689015</c:v>
                </c:pt>
                <c:pt idx="31">
                  <c:v>139140.39665259616</c:v>
                </c:pt>
                <c:pt idx="32">
                  <c:v>137766.52843753283</c:v>
                </c:pt>
                <c:pt idx="33">
                  <c:v>136386.47781550174</c:v>
                </c:pt>
                <c:pt idx="34">
                  <c:v>135000.21696567151</c:v>
                </c:pt>
                <c:pt idx="35">
                  <c:v>133607.71794201704</c:v>
                </c:pt>
                <c:pt idx="36">
                  <c:v>132208.95267275613</c:v>
                </c:pt>
                <c:pt idx="37">
                  <c:v>130803.89295978352</c:v>
                </c:pt>
                <c:pt idx="38">
                  <c:v>129392.51047810254</c:v>
                </c:pt>
                <c:pt idx="39">
                  <c:v>127974.77677525401</c:v>
                </c:pt>
                <c:pt idx="40">
                  <c:v>126550.66327074265</c:v>
                </c:pt>
                <c:pt idx="41">
                  <c:v>125120.14125546099</c:v>
                </c:pt>
                <c:pt idx="42">
                  <c:v>123683.18189111057</c:v>
                </c:pt>
                <c:pt idx="43">
                  <c:v>122239.75620962057</c:v>
                </c:pt>
                <c:pt idx="44">
                  <c:v>120789.83511256386</c:v>
                </c:pt>
                <c:pt idx="45">
                  <c:v>119333.3893705704</c:v>
                </c:pt>
                <c:pt idx="46">
                  <c:v>117870.38962273796</c:v>
                </c:pt>
                <c:pt idx="47">
                  <c:v>116400.80637604027</c:v>
                </c:pt>
                <c:pt idx="48">
                  <c:v>114924.61000473246</c:v>
                </c:pt>
                <c:pt idx="49">
                  <c:v>113441.77074975375</c:v>
                </c:pt>
                <c:pt idx="50">
                  <c:v>111952.25871812765</c:v>
                </c:pt>
                <c:pt idx="51">
                  <c:v>110456.04388235923</c:v>
                </c:pt>
                <c:pt idx="52">
                  <c:v>108953.09607982985</c:v>
                </c:pt>
                <c:pt idx="53">
                  <c:v>107443.38501218909</c:v>
                </c:pt>
                <c:pt idx="54">
                  <c:v>105926.88024474394</c:v>
                </c:pt>
                <c:pt idx="55">
                  <c:v>104403.55120584529</c:v>
                </c:pt>
                <c:pt idx="56">
                  <c:v>102873.36718627159</c:v>
                </c:pt>
                <c:pt idx="57">
                  <c:v>101336.2973386098</c:v>
                </c:pt>
                <c:pt idx="58">
                  <c:v>99792.31067663354</c:v>
                </c:pt>
                <c:pt idx="59">
                  <c:v>98241.376074678396</c:v>
                </c:pt>
                <c:pt idx="60">
                  <c:v>96683.462267014445</c:v>
                </c:pt>
                <c:pt idx="61">
                  <c:v>95118.537847216008</c:v>
                </c:pt>
                <c:pt idx="62">
                  <c:v>93546.571267528474</c:v>
                </c:pt>
                <c:pt idx="63">
                  <c:v>91967.530838232356</c:v>
                </c:pt>
                <c:pt idx="64">
                  <c:v>90381.384727004406</c:v>
                </c:pt>
                <c:pt idx="65">
                  <c:v>88788.100958275929</c:v>
                </c:pt>
                <c:pt idx="66">
                  <c:v>87187.647412588165</c:v>
                </c:pt>
                <c:pt idx="67">
                  <c:v>85579.991825944817</c:v>
                </c:pt>
                <c:pt idx="68">
                  <c:v>83965.101789161563</c:v>
                </c:pt>
                <c:pt idx="69">
                  <c:v>82342.944747212794</c:v>
                </c:pt>
                <c:pt idx="70">
                  <c:v>80713.487998575249</c:v>
                </c:pt>
                <c:pt idx="71">
                  <c:v>79076.69869456884</c:v>
                </c:pt>
                <c:pt idx="72">
                  <c:v>77432.543838694401</c:v>
                </c:pt>
                <c:pt idx="73">
                  <c:v>75780.990285968524</c:v>
                </c:pt>
                <c:pt idx="74">
                  <c:v>74122.004742255376</c:v>
                </c:pt>
                <c:pt idx="75">
                  <c:v>72455.553763595526</c:v>
                </c:pt>
                <c:pt idx="76">
                  <c:v>70781.603755531702</c:v>
                </c:pt>
                <c:pt idx="77">
                  <c:v>69100.1209724316</c:v>
                </c:pt>
                <c:pt idx="78">
                  <c:v>67411.07151680754</c:v>
                </c:pt>
                <c:pt idx="79">
                  <c:v>65714.421338633168</c:v>
                </c:pt>
                <c:pt idx="80">
                  <c:v>64010.136234657024</c:v>
                </c:pt>
                <c:pt idx="81">
                  <c:v>62298.181847712978</c:v>
                </c:pt>
                <c:pt idx="82">
                  <c:v>60578.523666027686</c:v>
                </c:pt>
                <c:pt idx="83">
                  <c:v>58851.127022524808</c:v>
                </c:pt>
                <c:pt idx="84">
                  <c:v>57115.95709412617</c:v>
                </c:pt>
                <c:pt idx="85">
                  <c:v>55372.978901049741</c:v>
                </c:pt>
                <c:pt idx="86">
                  <c:v>53622.157306104462</c:v>
                </c:pt>
                <c:pt idx="87">
                  <c:v>51863.457013981933</c:v>
                </c:pt>
                <c:pt idx="88">
                  <c:v>50096.842570544854</c:v>
                </c:pt>
                <c:pt idx="89">
                  <c:v>48322.278362112309</c:v>
                </c:pt>
                <c:pt idx="90">
                  <c:v>46539.728614741813</c:v>
                </c:pt>
                <c:pt idx="91">
                  <c:v>44749.157393508154</c:v>
                </c:pt>
                <c:pt idx="92">
                  <c:v>42950.52860177894</c:v>
                </c:pt>
                <c:pt idx="93">
                  <c:v>41143.805980486948</c:v>
                </c:pt>
                <c:pt idx="94">
                  <c:v>39328.953107399138</c:v>
                </c:pt>
                <c:pt idx="95">
                  <c:v>37505.933396382432</c:v>
                </c:pt>
                <c:pt idx="96">
                  <c:v>35674.710096666153</c:v>
                </c:pt>
                <c:pt idx="97">
                  <c:v>33835.246292101154</c:v>
                </c:pt>
                <c:pt idx="98">
                  <c:v>31987.50490041561</c:v>
                </c:pt>
                <c:pt idx="99">
                  <c:v>30131.448672467479</c:v>
                </c:pt>
                <c:pt idx="100">
                  <c:v>28267.040191493583</c:v>
                </c:pt>
                <c:pt idx="101">
                  <c:v>26394.241872355306</c:v>
                </c:pt>
                <c:pt idx="102">
                  <c:v>24513.015960780904</c:v>
                </c:pt>
                <c:pt idx="103">
                  <c:v>22623.324532604416</c:v>
                </c:pt>
                <c:pt idx="104">
                  <c:v>20725.129493001135</c:v>
                </c:pt>
                <c:pt idx="105">
                  <c:v>18818.392575719641</c:v>
                </c:pt>
                <c:pt idx="106">
                  <c:v>16903.075342310378</c:v>
                </c:pt>
                <c:pt idx="107">
                  <c:v>14979.139181350776</c:v>
                </c:pt>
                <c:pt idx="108">
                  <c:v>13046.545307666855</c:v>
                </c:pt>
                <c:pt idx="109">
                  <c:v>11105.254761551356</c:v>
                </c:pt>
                <c:pt idx="110">
                  <c:v>9155.2284079783367</c:v>
                </c:pt>
                <c:pt idx="111">
                  <c:v>7196.4269358142392</c:v>
                </c:pt>
                <c:pt idx="112">
                  <c:v>5228.8108570254035</c:v>
                </c:pt>
                <c:pt idx="113">
                  <c:v>3252.3405058820181</c:v>
                </c:pt>
                <c:pt idx="114">
                  <c:v>1266.976038158487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1-8D4E-B47E-F8A6F4267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142738"/>
        <c:axId val="5573011"/>
      </c:lineChart>
      <c:catAx>
        <c:axId val="53142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3011"/>
        <c:crosses val="autoZero"/>
        <c:auto val="1"/>
        <c:lblAlgn val="ctr"/>
        <c:lblOffset val="100"/>
        <c:noMultiLvlLbl val="0"/>
      </c:catAx>
      <c:valAx>
        <c:axId val="5573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Closing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1427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Sustainable agriculture loan: balance owing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 Two more loans'!$E$18</c:f>
              <c:strCache>
                <c:ptCount val="1"/>
                <c:pt idx="0">
                  <c:v>Closing balance ($)</c:v>
                </c:pt>
              </c:strCache>
            </c:strRef>
          </c:tx>
          <c:spPr>
            <a:ln w="241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'Task 5 Two more loans'!$A$19:$A$42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'Task 5 Two more loans'!$E$19:$E$42</c:f>
              <c:numCache>
                <c:formatCode>\$#,##0.00</c:formatCode>
                <c:ptCount val="24"/>
                <c:pt idx="0">
                  <c:v>91800.320673564158</c:v>
                </c:pt>
                <c:pt idx="1">
                  <c:v>88543.047119252471</c:v>
                </c:pt>
                <c:pt idx="2">
                  <c:v>85227.142640963168</c:v>
                </c:pt>
                <c:pt idx="3">
                  <c:v>81851.551882064668</c:v>
                </c:pt>
                <c:pt idx="4">
                  <c:v>78415.200489505994</c:v>
                </c:pt>
                <c:pt idx="5">
                  <c:v>74916.994771881262</c:v>
                </c:pt>
                <c:pt idx="6">
                  <c:v>71355.821351339284</c:v>
                </c:pt>
                <c:pt idx="7">
                  <c:v>67730.546809227555</c:v>
                </c:pt>
                <c:pt idx="8">
                  <c:v>64040.017325357803</c:v>
                </c:pt>
                <c:pt idx="9">
                  <c:v>60283.058310778397</c:v>
                </c:pt>
                <c:pt idx="10">
                  <c:v>56458.47403393656</c:v>
                </c:pt>
                <c:pt idx="11">
                  <c:v>52565.047240111569</c:v>
                </c:pt>
                <c:pt idx="12">
                  <c:v>48601.538763997727</c:v>
                </c:pt>
                <c:pt idx="13">
                  <c:v>44566.687135313834</c:v>
                </c:pt>
                <c:pt idx="14">
                  <c:v>40459.208177313631</c:v>
                </c:pt>
                <c:pt idx="15">
                  <c:v>36277.794598069428</c:v>
                </c:pt>
                <c:pt idx="16">
                  <c:v>32021.115574398827</c:v>
                </c:pt>
                <c:pt idx="17">
                  <c:v>27687.816328302157</c:v>
                </c:pt>
                <c:pt idx="18">
                  <c:v>23276.51769577575</c:v>
                </c:pt>
                <c:pt idx="19">
                  <c:v>18785.815687863869</c:v>
                </c:pt>
                <c:pt idx="20">
                  <c:v>14214.281043809571</c:v>
                </c:pt>
                <c:pt idx="21">
                  <c:v>9560.4587761622952</c:v>
                </c:pt>
                <c:pt idx="22">
                  <c:v>4822.867707697369</c:v>
                </c:pt>
                <c:pt idx="23">
                  <c:v>7.4578565545380116E-11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7-334F-9588-A421A40E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312374"/>
        <c:axId val="54647631"/>
      </c:lineChart>
      <c:catAx>
        <c:axId val="81312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47631"/>
        <c:crosses val="autoZero"/>
        <c:auto val="1"/>
        <c:lblAlgn val="ctr"/>
        <c:lblOffset val="100"/>
        <c:noMultiLvlLbl val="0"/>
      </c:catAx>
      <c:valAx>
        <c:axId val="54647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Closing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123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25</xdr:col>
      <xdr:colOff>364680</xdr:colOff>
      <xdr:row>18</xdr:row>
      <xdr:rowOff>172800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25</xdr:col>
      <xdr:colOff>364680</xdr:colOff>
      <xdr:row>19</xdr:row>
      <xdr:rowOff>134640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25</xdr:col>
      <xdr:colOff>364680</xdr:colOff>
      <xdr:row>18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25</xdr:col>
      <xdr:colOff>364680</xdr:colOff>
      <xdr:row>18</xdr:row>
      <xdr:rowOff>172800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31</xdr:col>
      <xdr:colOff>364680</xdr:colOff>
      <xdr:row>18</xdr:row>
      <xdr:rowOff>172800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"/>
  <sheetViews>
    <sheetView showGridLines="0" tabSelected="1" zoomScaleNormal="100" workbookViewId="0">
      <selection activeCell="C41" sqref="C41"/>
    </sheetView>
  </sheetViews>
  <sheetFormatPr baseColWidth="10" defaultColWidth="8.6640625" defaultRowHeight="13" x14ac:dyDescent="0.15"/>
  <cols>
    <col min="1" max="1" width="26" customWidth="1"/>
    <col min="2" max="2" width="50" customWidth="1"/>
    <col min="3" max="3" width="70" customWidth="1"/>
  </cols>
  <sheetData>
    <row r="1" spans="1:3" ht="31.5" customHeight="1" x14ac:dyDescent="0.15">
      <c r="A1" s="5" t="s">
        <v>177</v>
      </c>
      <c r="B1" s="5"/>
      <c r="C1" s="5"/>
    </row>
    <row r="2" spans="1:3" ht="31.5" customHeight="1" x14ac:dyDescent="0.15">
      <c r="A2" s="4" t="s">
        <v>0</v>
      </c>
      <c r="B2" s="4"/>
      <c r="C2" s="4"/>
    </row>
    <row r="4" spans="1:3" x14ac:dyDescent="0.15">
      <c r="A4" s="6" t="s">
        <v>1</v>
      </c>
      <c r="B4" s="7" t="s">
        <v>2</v>
      </c>
    </row>
    <row r="6" spans="1:3" ht="14" x14ac:dyDescent="0.15">
      <c r="A6" s="8" t="s">
        <v>3</v>
      </c>
    </row>
    <row r="7" spans="1:3" x14ac:dyDescent="0.15">
      <c r="A7" s="9"/>
      <c r="B7" t="s">
        <v>4</v>
      </c>
    </row>
    <row r="8" spans="1:3" x14ac:dyDescent="0.15">
      <c r="A8" s="10">
        <v>8000</v>
      </c>
      <c r="B8" t="s">
        <v>5</v>
      </c>
    </row>
    <row r="9" spans="1:3" x14ac:dyDescent="0.15">
      <c r="A9" s="7"/>
      <c r="B9" t="s">
        <v>6</v>
      </c>
    </row>
    <row r="11" spans="1:3" ht="14" x14ac:dyDescent="0.15">
      <c r="A11" s="8" t="s">
        <v>7</v>
      </c>
    </row>
    <row r="12" spans="1:3" ht="19.5" customHeight="1" x14ac:dyDescent="0.15">
      <c r="A12" s="11" t="s">
        <v>8</v>
      </c>
      <c r="B12" s="11" t="s">
        <v>9</v>
      </c>
      <c r="C12" s="11" t="s">
        <v>10</v>
      </c>
    </row>
    <row r="13" spans="1:3" x14ac:dyDescent="0.15">
      <c r="A13" s="12" t="s">
        <v>11</v>
      </c>
      <c r="B13" s="12" t="s">
        <v>12</v>
      </c>
      <c r="C13" s="12" t="s">
        <v>13</v>
      </c>
    </row>
    <row r="14" spans="1:3" x14ac:dyDescent="0.15">
      <c r="A14" s="12" t="s">
        <v>14</v>
      </c>
      <c r="B14" s="12" t="s">
        <v>15</v>
      </c>
      <c r="C14" s="12" t="s">
        <v>16</v>
      </c>
    </row>
    <row r="15" spans="1:3" x14ac:dyDescent="0.15">
      <c r="A15" s="12" t="s">
        <v>17</v>
      </c>
      <c r="B15" s="12" t="s">
        <v>18</v>
      </c>
      <c r="C15" s="12" t="s">
        <v>19</v>
      </c>
    </row>
    <row r="16" spans="1:3" x14ac:dyDescent="0.15">
      <c r="A16" s="12" t="s">
        <v>20</v>
      </c>
      <c r="B16" s="12" t="s">
        <v>21</v>
      </c>
      <c r="C16" s="12" t="s">
        <v>22</v>
      </c>
    </row>
    <row r="17" spans="1:3" x14ac:dyDescent="0.15">
      <c r="A17" s="12" t="s">
        <v>23</v>
      </c>
      <c r="B17" s="12" t="s">
        <v>24</v>
      </c>
      <c r="C17" s="12" t="s">
        <v>25</v>
      </c>
    </row>
    <row r="19" spans="1:3" ht="14" x14ac:dyDescent="0.15">
      <c r="A19" s="8" t="s">
        <v>26</v>
      </c>
    </row>
    <row r="20" spans="1:3" ht="15" customHeight="1" x14ac:dyDescent="0.15">
      <c r="A20" s="3" t="s">
        <v>27</v>
      </c>
      <c r="B20" s="3"/>
      <c r="C20" s="3"/>
    </row>
    <row r="21" spans="1:3" ht="15" customHeight="1" x14ac:dyDescent="0.15">
      <c r="A21" s="3" t="s">
        <v>28</v>
      </c>
      <c r="B21" s="3"/>
      <c r="C21" s="3"/>
    </row>
    <row r="22" spans="1:3" ht="15" customHeight="1" x14ac:dyDescent="0.15">
      <c r="A22" s="3" t="s">
        <v>29</v>
      </c>
      <c r="B22" s="3"/>
      <c r="C22" s="3"/>
    </row>
    <row r="23" spans="1:3" ht="15" customHeight="1" x14ac:dyDescent="0.15">
      <c r="A23" s="3" t="s">
        <v>30</v>
      </c>
      <c r="B23" s="3"/>
      <c r="C23" s="3"/>
    </row>
    <row r="24" spans="1:3" ht="15" customHeight="1" x14ac:dyDescent="0.15">
      <c r="A24" s="3" t="s">
        <v>31</v>
      </c>
      <c r="B24" s="3"/>
      <c r="C24" s="3"/>
    </row>
    <row r="25" spans="1:3" ht="15" customHeight="1" x14ac:dyDescent="0.15">
      <c r="A25" s="3" t="s">
        <v>32</v>
      </c>
      <c r="B25" s="3"/>
      <c r="C25" s="3"/>
    </row>
  </sheetData>
  <mergeCells count="8">
    <mergeCell ref="A23:C23"/>
    <mergeCell ref="A24:C24"/>
    <mergeCell ref="A25:C25"/>
    <mergeCell ref="A1:C1"/>
    <mergeCell ref="A2:C2"/>
    <mergeCell ref="A20:C20"/>
    <mergeCell ref="A21:C21"/>
    <mergeCell ref="A22:C2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1"/>
  <sheetViews>
    <sheetView showGridLines="0" zoomScaleNormal="100" workbookViewId="0">
      <selection sqref="A1:N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35</v>
      </c>
      <c r="G4" s="8" t="s">
        <v>36</v>
      </c>
    </row>
    <row r="5" spans="1:14" ht="15" customHeight="1" x14ac:dyDescent="0.15">
      <c r="A5" t="s">
        <v>37</v>
      </c>
      <c r="B5" s="10">
        <v>8000</v>
      </c>
      <c r="G5" s="3" t="s">
        <v>38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39</v>
      </c>
      <c r="B6" s="13">
        <v>7.4999999999999997E-2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40</v>
      </c>
      <c r="B7" s="13">
        <v>0.06</v>
      </c>
      <c r="G7" s="3" t="s">
        <v>41</v>
      </c>
      <c r="H7" s="3"/>
      <c r="I7" s="3"/>
      <c r="J7" s="3"/>
      <c r="K7" s="3"/>
      <c r="L7" s="3"/>
      <c r="M7" s="3"/>
      <c r="N7" s="3"/>
    </row>
    <row r="8" spans="1:14" x14ac:dyDescent="0.15">
      <c r="G8" s="3"/>
      <c r="H8" s="3"/>
      <c r="I8" s="3"/>
      <c r="J8" s="3"/>
      <c r="K8" s="3"/>
      <c r="L8" s="3"/>
      <c r="M8" s="3"/>
      <c r="N8" s="3"/>
    </row>
    <row r="9" spans="1:14" ht="15" customHeight="1" x14ac:dyDescent="0.15">
      <c r="A9" s="8" t="s">
        <v>42</v>
      </c>
      <c r="G9" s="3" t="s">
        <v>43</v>
      </c>
      <c r="H9" s="3"/>
      <c r="I9" s="3"/>
      <c r="J9" s="3"/>
      <c r="K9" s="3"/>
      <c r="L9" s="3"/>
      <c r="M9" s="3"/>
      <c r="N9" s="3"/>
    </row>
    <row r="10" spans="1:14" ht="31.5" customHeight="1" x14ac:dyDescent="0.15">
      <c r="A10" s="11" t="s">
        <v>44</v>
      </c>
      <c r="B10" s="11" t="s">
        <v>45</v>
      </c>
      <c r="C10" s="11" t="s">
        <v>46</v>
      </c>
      <c r="D10" s="11" t="s">
        <v>47</v>
      </c>
      <c r="G10" s="2" t="s">
        <v>48</v>
      </c>
      <c r="H10" s="2"/>
      <c r="I10" s="2"/>
      <c r="J10" s="2"/>
      <c r="K10" s="2"/>
      <c r="L10" s="2"/>
      <c r="M10" s="2"/>
      <c r="N10" s="2"/>
    </row>
    <row r="11" spans="1:14" x14ac:dyDescent="0.15">
      <c r="A11" s="14">
        <v>0</v>
      </c>
      <c r="B11" s="15">
        <f>$B$5</f>
        <v>8000</v>
      </c>
      <c r="C11" s="15">
        <f>$B$5</f>
        <v>8000</v>
      </c>
      <c r="D11" s="15">
        <f t="shared" ref="D11:D31" si="0">C11-B11</f>
        <v>0</v>
      </c>
    </row>
    <row r="12" spans="1:14" ht="14" x14ac:dyDescent="0.15">
      <c r="A12" s="14">
        <v>1</v>
      </c>
      <c r="B12" s="16">
        <f t="shared" ref="B12:B31" si="1">$B$5*(1+$B$6*A12)</f>
        <v>8600</v>
      </c>
      <c r="C12" s="16">
        <f t="shared" ref="C12:C31" si="2">$B$5*(1+$B$7)^A12</f>
        <v>8480</v>
      </c>
      <c r="D12" s="16">
        <f t="shared" si="0"/>
        <v>-120</v>
      </c>
      <c r="G12" s="8" t="s">
        <v>49</v>
      </c>
    </row>
    <row r="13" spans="1:14" ht="15" customHeight="1" x14ac:dyDescent="0.15">
      <c r="A13" s="14">
        <v>2</v>
      </c>
      <c r="B13" s="16">
        <f t="shared" si="1"/>
        <v>9200</v>
      </c>
      <c r="C13" s="16">
        <f t="shared" si="2"/>
        <v>8988.8000000000011</v>
      </c>
      <c r="D13" s="16">
        <f t="shared" si="0"/>
        <v>-211.19999999999891</v>
      </c>
      <c r="G13" s="2" t="s">
        <v>50</v>
      </c>
      <c r="H13" s="2"/>
      <c r="I13" s="2"/>
      <c r="J13" s="2"/>
      <c r="K13" s="2"/>
      <c r="L13" s="2"/>
      <c r="M13" s="2"/>
      <c r="N13" s="2"/>
    </row>
    <row r="14" spans="1:14" ht="15" customHeight="1" x14ac:dyDescent="0.15">
      <c r="A14" s="14">
        <v>3</v>
      </c>
      <c r="B14" s="16">
        <f t="shared" si="1"/>
        <v>9800</v>
      </c>
      <c r="C14" s="16">
        <f t="shared" si="2"/>
        <v>9528.1280000000024</v>
      </c>
      <c r="D14" s="16">
        <f t="shared" si="0"/>
        <v>-271.87199999999757</v>
      </c>
      <c r="G14" s="1" t="s">
        <v>51</v>
      </c>
      <c r="H14" s="1"/>
      <c r="I14" s="1"/>
      <c r="J14" s="1"/>
      <c r="K14" s="1"/>
      <c r="L14" s="1"/>
      <c r="M14" s="1"/>
      <c r="N14" s="1"/>
    </row>
    <row r="15" spans="1:14" x14ac:dyDescent="0.15">
      <c r="A15" s="14">
        <v>4</v>
      </c>
      <c r="B15" s="16">
        <f t="shared" si="1"/>
        <v>10400</v>
      </c>
      <c r="C15" s="16">
        <f t="shared" si="2"/>
        <v>10099.815680000003</v>
      </c>
      <c r="D15" s="16">
        <f t="shared" si="0"/>
        <v>-300.18431999999666</v>
      </c>
      <c r="G15" s="1"/>
      <c r="H15" s="1"/>
      <c r="I15" s="1"/>
      <c r="J15" s="1"/>
      <c r="K15" s="1"/>
      <c r="L15" s="1"/>
      <c r="M15" s="1"/>
      <c r="N15" s="1"/>
    </row>
    <row r="16" spans="1:14" x14ac:dyDescent="0.15">
      <c r="A16" s="14">
        <v>5</v>
      </c>
      <c r="B16" s="16">
        <f t="shared" si="1"/>
        <v>11000</v>
      </c>
      <c r="C16" s="16">
        <f t="shared" si="2"/>
        <v>10705.804620800003</v>
      </c>
      <c r="D16" s="16">
        <f t="shared" si="0"/>
        <v>-294.19537919999675</v>
      </c>
      <c r="G16" s="1"/>
      <c r="H16" s="1"/>
      <c r="I16" s="1"/>
      <c r="J16" s="1"/>
      <c r="K16" s="1"/>
      <c r="L16" s="1"/>
      <c r="M16" s="1"/>
      <c r="N16" s="1"/>
    </row>
    <row r="17" spans="1:14" x14ac:dyDescent="0.15">
      <c r="A17" s="14">
        <v>6</v>
      </c>
      <c r="B17" s="16">
        <f t="shared" si="1"/>
        <v>11600</v>
      </c>
      <c r="C17" s="16">
        <f t="shared" si="2"/>
        <v>11348.152898048005</v>
      </c>
      <c r="D17" s="16">
        <f t="shared" si="0"/>
        <v>-251.84710195199477</v>
      </c>
    </row>
    <row r="18" spans="1:14" ht="15" customHeight="1" x14ac:dyDescent="0.15">
      <c r="A18" s="14">
        <v>7</v>
      </c>
      <c r="B18" s="16">
        <f t="shared" si="1"/>
        <v>12200</v>
      </c>
      <c r="C18" s="16">
        <f t="shared" si="2"/>
        <v>12029.042071930886</v>
      </c>
      <c r="D18" s="16">
        <f t="shared" si="0"/>
        <v>-170.95792806911413</v>
      </c>
      <c r="G18" s="2" t="s">
        <v>52</v>
      </c>
      <c r="H18" s="2"/>
      <c r="I18" s="2"/>
      <c r="J18" s="2"/>
      <c r="K18" s="2"/>
      <c r="L18" s="2"/>
      <c r="M18" s="2"/>
      <c r="N18" s="2"/>
    </row>
    <row r="19" spans="1:14" ht="15" customHeight="1" x14ac:dyDescent="0.15">
      <c r="A19" s="14">
        <v>8</v>
      </c>
      <c r="B19" s="16">
        <f t="shared" si="1"/>
        <v>12800</v>
      </c>
      <c r="C19" s="16">
        <f t="shared" si="2"/>
        <v>12750.784596246738</v>
      </c>
      <c r="D19" s="16">
        <f t="shared" si="0"/>
        <v>-49.215403753261853</v>
      </c>
      <c r="G19" s="1" t="s">
        <v>53</v>
      </c>
      <c r="H19" s="1"/>
      <c r="I19" s="1"/>
      <c r="J19" s="1"/>
      <c r="K19" s="1"/>
      <c r="L19" s="1"/>
      <c r="M19" s="1"/>
      <c r="N19" s="1"/>
    </row>
    <row r="20" spans="1:14" x14ac:dyDescent="0.15">
      <c r="A20" s="14">
        <v>9</v>
      </c>
      <c r="B20" s="16">
        <f t="shared" si="1"/>
        <v>13399.999999999998</v>
      </c>
      <c r="C20" s="16">
        <f t="shared" si="2"/>
        <v>13515.831672021543</v>
      </c>
      <c r="D20" s="16">
        <f t="shared" si="0"/>
        <v>115.83167202154436</v>
      </c>
      <c r="G20" s="1"/>
      <c r="H20" s="1"/>
      <c r="I20" s="1"/>
      <c r="J20" s="1"/>
      <c r="K20" s="1"/>
      <c r="L20" s="1"/>
      <c r="M20" s="1"/>
      <c r="N20" s="1"/>
    </row>
    <row r="21" spans="1:14" x14ac:dyDescent="0.15">
      <c r="A21" s="14">
        <v>10</v>
      </c>
      <c r="B21" s="16">
        <f t="shared" si="1"/>
        <v>14000</v>
      </c>
      <c r="C21" s="16">
        <f t="shared" si="2"/>
        <v>14326.781572342838</v>
      </c>
      <c r="D21" s="16">
        <f t="shared" si="0"/>
        <v>326.78157234283753</v>
      </c>
      <c r="G21" s="1"/>
      <c r="H21" s="1"/>
      <c r="I21" s="1"/>
      <c r="J21" s="1"/>
      <c r="K21" s="1"/>
      <c r="L21" s="1"/>
      <c r="M21" s="1"/>
      <c r="N21" s="1"/>
    </row>
    <row r="22" spans="1:14" x14ac:dyDescent="0.15">
      <c r="A22" s="14">
        <v>11</v>
      </c>
      <c r="B22" s="16">
        <f t="shared" si="1"/>
        <v>14600</v>
      </c>
      <c r="C22" s="16">
        <f t="shared" si="2"/>
        <v>15186.388466683409</v>
      </c>
      <c r="D22" s="16">
        <f t="shared" si="0"/>
        <v>586.38846668340921</v>
      </c>
    </row>
    <row r="23" spans="1:14" ht="15" customHeight="1" x14ac:dyDescent="0.15">
      <c r="A23" s="14">
        <v>12</v>
      </c>
      <c r="B23" s="16">
        <f t="shared" si="1"/>
        <v>15200</v>
      </c>
      <c r="C23" s="16">
        <f t="shared" si="2"/>
        <v>16097.571774684415</v>
      </c>
      <c r="D23" s="16">
        <f t="shared" si="0"/>
        <v>897.57177468441478</v>
      </c>
      <c r="G23" s="2" t="s">
        <v>54</v>
      </c>
      <c r="H23" s="2"/>
      <c r="I23" s="2"/>
      <c r="J23" s="2"/>
      <c r="K23" s="2"/>
      <c r="L23" s="2"/>
      <c r="M23" s="2"/>
      <c r="N23" s="2"/>
    </row>
    <row r="24" spans="1:14" x14ac:dyDescent="0.15">
      <c r="A24" s="14">
        <v>13</v>
      </c>
      <c r="B24" s="16">
        <f t="shared" si="1"/>
        <v>15800</v>
      </c>
      <c r="C24" s="16">
        <f t="shared" si="2"/>
        <v>17063.426081165482</v>
      </c>
      <c r="D24" s="16">
        <f t="shared" si="0"/>
        <v>1263.4260811654822</v>
      </c>
      <c r="G24" s="2"/>
      <c r="H24" s="2"/>
      <c r="I24" s="2"/>
      <c r="J24" s="2"/>
      <c r="K24" s="2"/>
      <c r="L24" s="2"/>
      <c r="M24" s="2"/>
      <c r="N24" s="2"/>
    </row>
    <row r="25" spans="1:14" ht="15" customHeight="1" x14ac:dyDescent="0.15">
      <c r="A25" s="14">
        <v>14</v>
      </c>
      <c r="B25" s="16">
        <f t="shared" si="1"/>
        <v>16400</v>
      </c>
      <c r="C25" s="16">
        <f t="shared" si="2"/>
        <v>18087.231646035409</v>
      </c>
      <c r="D25" s="16">
        <f t="shared" si="0"/>
        <v>1687.2316460354086</v>
      </c>
      <c r="G25" s="1" t="s">
        <v>55</v>
      </c>
      <c r="H25" s="1"/>
      <c r="I25" s="1"/>
      <c r="J25" s="1"/>
      <c r="K25" s="1"/>
      <c r="L25" s="1"/>
      <c r="M25" s="1"/>
      <c r="N25" s="1"/>
    </row>
    <row r="26" spans="1:14" x14ac:dyDescent="0.15">
      <c r="A26" s="14">
        <v>15</v>
      </c>
      <c r="B26" s="16">
        <f t="shared" si="1"/>
        <v>17000</v>
      </c>
      <c r="C26" s="16">
        <f t="shared" si="2"/>
        <v>19172.465544797538</v>
      </c>
      <c r="D26" s="16">
        <f t="shared" si="0"/>
        <v>2172.4655447975383</v>
      </c>
      <c r="G26" s="1"/>
      <c r="H26" s="1"/>
      <c r="I26" s="1"/>
      <c r="J26" s="1"/>
      <c r="K26" s="1"/>
      <c r="L26" s="1"/>
      <c r="M26" s="1"/>
      <c r="N26" s="1"/>
    </row>
    <row r="27" spans="1:14" x14ac:dyDescent="0.15">
      <c r="A27" s="14">
        <v>16</v>
      </c>
      <c r="B27" s="16">
        <f t="shared" si="1"/>
        <v>17600</v>
      </c>
      <c r="C27" s="16">
        <f t="shared" si="2"/>
        <v>20322.813477485386</v>
      </c>
      <c r="D27" s="16">
        <f t="shared" si="0"/>
        <v>2722.8134774853861</v>
      </c>
      <c r="G27" s="1"/>
      <c r="H27" s="1"/>
      <c r="I27" s="1"/>
      <c r="J27" s="1"/>
      <c r="K27" s="1"/>
      <c r="L27" s="1"/>
      <c r="M27" s="1"/>
      <c r="N27" s="1"/>
    </row>
    <row r="28" spans="1:14" x14ac:dyDescent="0.15">
      <c r="A28" s="14">
        <v>17</v>
      </c>
      <c r="B28" s="16">
        <f t="shared" si="1"/>
        <v>18200</v>
      </c>
      <c r="C28" s="16">
        <f t="shared" si="2"/>
        <v>21542.182286134514</v>
      </c>
      <c r="D28" s="16">
        <f t="shared" si="0"/>
        <v>3342.1822861345136</v>
      </c>
      <c r="G28" s="1"/>
      <c r="H28" s="1"/>
      <c r="I28" s="1"/>
      <c r="J28" s="1"/>
      <c r="K28" s="1"/>
      <c r="L28" s="1"/>
      <c r="M28" s="1"/>
      <c r="N28" s="1"/>
    </row>
    <row r="29" spans="1:14" x14ac:dyDescent="0.15">
      <c r="A29" s="14">
        <v>18</v>
      </c>
      <c r="B29" s="16">
        <f t="shared" si="1"/>
        <v>18799.999999999996</v>
      </c>
      <c r="C29" s="16">
        <f t="shared" si="2"/>
        <v>22834.713223302584</v>
      </c>
      <c r="D29" s="16">
        <f t="shared" si="0"/>
        <v>4034.7132233025877</v>
      </c>
    </row>
    <row r="30" spans="1:14" ht="15" customHeight="1" x14ac:dyDescent="0.15">
      <c r="A30" s="14">
        <v>19</v>
      </c>
      <c r="B30" s="16">
        <f t="shared" si="1"/>
        <v>19400</v>
      </c>
      <c r="C30" s="16">
        <f t="shared" si="2"/>
        <v>24204.79601670074</v>
      </c>
      <c r="D30" s="16">
        <f t="shared" si="0"/>
        <v>4804.7960167007404</v>
      </c>
      <c r="G30" s="2" t="s">
        <v>56</v>
      </c>
      <c r="H30" s="2"/>
      <c r="I30" s="2"/>
      <c r="J30" s="2"/>
      <c r="K30" s="2"/>
      <c r="L30" s="2"/>
      <c r="M30" s="2"/>
      <c r="N30" s="2"/>
    </row>
    <row r="31" spans="1:14" x14ac:dyDescent="0.15">
      <c r="A31" s="14">
        <v>20</v>
      </c>
      <c r="B31" s="16">
        <f t="shared" si="1"/>
        <v>20000</v>
      </c>
      <c r="C31" s="16">
        <f t="shared" si="2"/>
        <v>25657.083777702785</v>
      </c>
      <c r="D31" s="16">
        <f t="shared" si="0"/>
        <v>5657.0837777027846</v>
      </c>
      <c r="G31" s="2"/>
      <c r="H31" s="2"/>
      <c r="I31" s="2"/>
      <c r="J31" s="2"/>
      <c r="K31" s="2"/>
      <c r="L31" s="2"/>
      <c r="M31" s="2"/>
      <c r="N31" s="2"/>
    </row>
    <row r="32" spans="1:14" ht="15" customHeight="1" x14ac:dyDescent="0.15">
      <c r="G32" s="1" t="s">
        <v>57</v>
      </c>
      <c r="H32" s="1"/>
      <c r="I32" s="1"/>
      <c r="J32" s="1"/>
      <c r="K32" s="1"/>
      <c r="L32" s="1"/>
      <c r="M32" s="1"/>
      <c r="N32" s="1"/>
    </row>
    <row r="33" spans="7:14" x14ac:dyDescent="0.15">
      <c r="G33" s="1"/>
      <c r="H33" s="1"/>
      <c r="I33" s="1"/>
      <c r="J33" s="1"/>
      <c r="K33" s="1"/>
      <c r="L33" s="1"/>
      <c r="M33" s="1"/>
      <c r="N33" s="1"/>
    </row>
    <row r="34" spans="7:14" x14ac:dyDescent="0.15">
      <c r="G34" s="1"/>
      <c r="H34" s="1"/>
      <c r="I34" s="1"/>
      <c r="J34" s="1"/>
      <c r="K34" s="1"/>
      <c r="L34" s="1"/>
      <c r="M34" s="1"/>
      <c r="N34" s="1"/>
    </row>
    <row r="36" spans="7:14" ht="15" customHeight="1" x14ac:dyDescent="0.15">
      <c r="G36" s="2" t="s">
        <v>58</v>
      </c>
      <c r="H36" s="2"/>
      <c r="I36" s="2"/>
      <c r="J36" s="2"/>
      <c r="K36" s="2"/>
      <c r="L36" s="2"/>
      <c r="M36" s="2"/>
      <c r="N36" s="2"/>
    </row>
    <row r="37" spans="7:14" x14ac:dyDescent="0.15">
      <c r="G37" s="2"/>
      <c r="H37" s="2"/>
      <c r="I37" s="2"/>
      <c r="J37" s="2"/>
      <c r="K37" s="2"/>
      <c r="L37" s="2"/>
      <c r="M37" s="2"/>
      <c r="N37" s="2"/>
    </row>
    <row r="38" spans="7:14" x14ac:dyDescent="0.15">
      <c r="G38" s="2"/>
      <c r="H38" s="2"/>
      <c r="I38" s="2"/>
      <c r="J38" s="2"/>
      <c r="K38" s="2"/>
      <c r="L38" s="2"/>
      <c r="M38" s="2"/>
      <c r="N38" s="2"/>
    </row>
    <row r="39" spans="7:14" ht="15" customHeight="1" x14ac:dyDescent="0.15">
      <c r="G39" s="1" t="s">
        <v>59</v>
      </c>
      <c r="H39" s="1"/>
      <c r="I39" s="1"/>
      <c r="J39" s="1"/>
      <c r="K39" s="1"/>
      <c r="L39" s="1"/>
      <c r="M39" s="1"/>
      <c r="N39" s="1"/>
    </row>
    <row r="40" spans="7:14" x14ac:dyDescent="0.15">
      <c r="G40" s="1"/>
      <c r="H40" s="1"/>
      <c r="I40" s="1"/>
      <c r="J40" s="1"/>
      <c r="K40" s="1"/>
      <c r="L40" s="1"/>
      <c r="M40" s="1"/>
      <c r="N40" s="1"/>
    </row>
    <row r="41" spans="7:14" x14ac:dyDescent="0.15">
      <c r="G41" s="1"/>
      <c r="H41" s="1"/>
      <c r="I41" s="1"/>
      <c r="J41" s="1"/>
      <c r="K41" s="1"/>
      <c r="L41" s="1"/>
      <c r="M41" s="1"/>
      <c r="N41" s="1"/>
    </row>
  </sheetData>
  <mergeCells count="16">
    <mergeCell ref="G39:N41"/>
    <mergeCell ref="G23:N24"/>
    <mergeCell ref="G25:N28"/>
    <mergeCell ref="G30:N31"/>
    <mergeCell ref="G32:N34"/>
    <mergeCell ref="G36:N38"/>
    <mergeCell ref="G10:N10"/>
    <mergeCell ref="G13:N13"/>
    <mergeCell ref="G14:N16"/>
    <mergeCell ref="G18:N18"/>
    <mergeCell ref="G19:N21"/>
    <mergeCell ref="A1:N1"/>
    <mergeCell ref="A2:N2"/>
    <mergeCell ref="G5:N6"/>
    <mergeCell ref="G7:N8"/>
    <mergeCell ref="G9:N9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9"/>
  <sheetViews>
    <sheetView showGridLines="0" zoomScaleNormal="100" workbookViewId="0">
      <selection sqref="A1:N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62</v>
      </c>
      <c r="G4" s="8" t="s">
        <v>36</v>
      </c>
    </row>
    <row r="5" spans="1:14" ht="15" customHeight="1" x14ac:dyDescent="0.15">
      <c r="A5" t="s">
        <v>37</v>
      </c>
      <c r="B5" s="10">
        <v>50000</v>
      </c>
      <c r="G5" s="3" t="s">
        <v>63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64</v>
      </c>
      <c r="B6" s="17">
        <v>12</v>
      </c>
      <c r="G6" s="3"/>
      <c r="H6" s="3"/>
      <c r="I6" s="3"/>
      <c r="J6" s="3"/>
      <c r="K6" s="3"/>
      <c r="L6" s="3"/>
      <c r="M6" s="3"/>
      <c r="N6" s="3"/>
    </row>
    <row r="7" spans="1:14" x14ac:dyDescent="0.15">
      <c r="G7" s="3"/>
      <c r="H7" s="3"/>
      <c r="I7" s="3"/>
      <c r="J7" s="3"/>
      <c r="K7" s="3"/>
      <c r="L7" s="3"/>
      <c r="M7" s="3"/>
      <c r="N7" s="3"/>
    </row>
    <row r="8" spans="1:14" ht="15" customHeight="1" x14ac:dyDescent="0.15">
      <c r="A8" s="6" t="s">
        <v>65</v>
      </c>
      <c r="B8" s="13">
        <v>0.04</v>
      </c>
      <c r="C8" s="13">
        <v>0.06</v>
      </c>
      <c r="D8" s="13">
        <v>0.08</v>
      </c>
      <c r="E8" s="13">
        <v>0.1</v>
      </c>
      <c r="G8" s="3" t="s">
        <v>66</v>
      </c>
      <c r="H8" s="3"/>
      <c r="I8" s="3"/>
      <c r="J8" s="3"/>
      <c r="K8" s="3"/>
      <c r="L8" s="3"/>
      <c r="M8" s="3"/>
      <c r="N8" s="3"/>
    </row>
    <row r="9" spans="1:14" ht="19.5" customHeight="1" x14ac:dyDescent="0.15">
      <c r="A9" s="11" t="s">
        <v>44</v>
      </c>
      <c r="B9" s="11" t="str">
        <f>TEXT(B8,"0%")&amp;" p.a. ($)"</f>
        <v>4% p.a. ($)</v>
      </c>
      <c r="C9" s="11" t="str">
        <f>TEXT(C8,"0%")&amp;" p.a. ($)"</f>
        <v>6% p.a. ($)</v>
      </c>
      <c r="D9" s="11" t="str">
        <f>TEXT(D8,"0%")&amp;" p.a. ($)"</f>
        <v>8% p.a. ($)</v>
      </c>
      <c r="E9" s="11" t="str">
        <f>TEXT(E8,"0%")&amp;" p.a. ($)"</f>
        <v>10% p.a. ($)</v>
      </c>
      <c r="G9" s="3"/>
      <c r="H9" s="3"/>
      <c r="I9" s="3"/>
      <c r="J9" s="3"/>
      <c r="K9" s="3"/>
      <c r="L9" s="3"/>
      <c r="M9" s="3"/>
      <c r="N9" s="3"/>
    </row>
    <row r="10" spans="1:14" ht="15" customHeight="1" x14ac:dyDescent="0.15">
      <c r="A10" s="14">
        <v>0</v>
      </c>
      <c r="B10" s="15">
        <f>$B$5</f>
        <v>50000</v>
      </c>
      <c r="C10" s="15">
        <f>$B$5</f>
        <v>50000</v>
      </c>
      <c r="D10" s="15">
        <f>$B$5</f>
        <v>50000</v>
      </c>
      <c r="E10" s="15">
        <f>$B$5</f>
        <v>50000</v>
      </c>
      <c r="G10" s="3" t="s">
        <v>67</v>
      </c>
      <c r="H10" s="3"/>
      <c r="I10" s="3"/>
      <c r="J10" s="3"/>
      <c r="K10" s="3"/>
      <c r="L10" s="3"/>
      <c r="M10" s="3"/>
      <c r="N10" s="3"/>
    </row>
    <row r="11" spans="1:14" x14ac:dyDescent="0.15">
      <c r="A11" s="14">
        <v>1</v>
      </c>
      <c r="B11" s="16">
        <f t="shared" ref="B11:E30" si="0">$B$5*(1+B$8/$B$6)^($B$6*$A11)</f>
        <v>52037.07714598954</v>
      </c>
      <c r="C11" s="16">
        <f t="shared" si="0"/>
        <v>53083.890593224882</v>
      </c>
      <c r="D11" s="16">
        <f t="shared" si="0"/>
        <v>54149.975340375502</v>
      </c>
      <c r="E11" s="16">
        <f t="shared" si="0"/>
        <v>55235.653372064844</v>
      </c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15">
      <c r="A12" s="14">
        <v>2</v>
      </c>
      <c r="B12" s="16">
        <f t="shared" si="0"/>
        <v>54157.147957953333</v>
      </c>
      <c r="C12" s="16">
        <f t="shared" si="0"/>
        <v>56357.988810269388</v>
      </c>
      <c r="D12" s="16">
        <f t="shared" si="0"/>
        <v>58644.396587265503</v>
      </c>
      <c r="E12" s="16">
        <f t="shared" si="0"/>
        <v>61019.548068777949</v>
      </c>
      <c r="G12" s="2" t="s">
        <v>68</v>
      </c>
      <c r="H12" s="2"/>
      <c r="I12" s="2"/>
      <c r="J12" s="2"/>
      <c r="K12" s="2"/>
      <c r="L12" s="2"/>
      <c r="M12" s="2"/>
      <c r="N12" s="2"/>
    </row>
    <row r="13" spans="1:14" x14ac:dyDescent="0.15">
      <c r="A13" s="14">
        <v>3</v>
      </c>
      <c r="B13" s="16">
        <f t="shared" si="0"/>
        <v>56363.593725895742</v>
      </c>
      <c r="C13" s="16">
        <f t="shared" si="0"/>
        <v>59834.026241170635</v>
      </c>
      <c r="D13" s="16">
        <f t="shared" si="0"/>
        <v>63511.852581032559</v>
      </c>
      <c r="E13" s="16">
        <f t="shared" si="0"/>
        <v>67409.092120941335</v>
      </c>
      <c r="G13" s="2"/>
      <c r="H13" s="2"/>
      <c r="I13" s="2"/>
      <c r="J13" s="2"/>
      <c r="K13" s="2"/>
      <c r="L13" s="2"/>
      <c r="M13" s="2"/>
      <c r="N13" s="2"/>
    </row>
    <row r="14" spans="1:14" x14ac:dyDescent="0.15">
      <c r="A14" s="14">
        <v>4</v>
      </c>
      <c r="B14" s="16">
        <f t="shared" si="0"/>
        <v>58659.933498792983</v>
      </c>
      <c r="C14" s="16">
        <f t="shared" si="0"/>
        <v>63524.458054768977</v>
      </c>
      <c r="D14" s="16">
        <f t="shared" si="0"/>
        <v>68783.30502168955</v>
      </c>
      <c r="E14" s="16">
        <f t="shared" si="0"/>
        <v>74467.704930358057</v>
      </c>
    </row>
    <row r="15" spans="1:14" ht="14" x14ac:dyDescent="0.15">
      <c r="A15" s="14">
        <v>5</v>
      </c>
      <c r="B15" s="16">
        <f t="shared" si="0"/>
        <v>61049.829697106128</v>
      </c>
      <c r="C15" s="16">
        <f t="shared" si="0"/>
        <v>67442.50762746518</v>
      </c>
      <c r="D15" s="16">
        <f t="shared" si="0"/>
        <v>74492.285415080303</v>
      </c>
      <c r="E15" s="16">
        <f t="shared" si="0"/>
        <v>82265.44673892924</v>
      </c>
      <c r="G15" s="8" t="s">
        <v>49</v>
      </c>
    </row>
    <row r="16" spans="1:14" ht="15" customHeight="1" x14ac:dyDescent="0.15">
      <c r="A16" s="14">
        <v>6</v>
      </c>
      <c r="B16" s="16">
        <f t="shared" si="0"/>
        <v>63537.09395395669</v>
      </c>
      <c r="C16" s="16">
        <f t="shared" si="0"/>
        <v>71602.213924581942</v>
      </c>
      <c r="D16" s="16">
        <f t="shared" si="0"/>
        <v>80675.108365496242</v>
      </c>
      <c r="E16" s="16">
        <f t="shared" si="0"/>
        <v>90879.71401139113</v>
      </c>
      <c r="G16" s="2" t="s">
        <v>69</v>
      </c>
      <c r="H16" s="2"/>
      <c r="I16" s="2"/>
      <c r="J16" s="2"/>
      <c r="K16" s="2"/>
      <c r="L16" s="2"/>
      <c r="M16" s="2"/>
      <c r="N16" s="2"/>
    </row>
    <row r="17" spans="1:14" ht="15" customHeight="1" x14ac:dyDescent="0.15">
      <c r="A17" s="14">
        <v>7</v>
      </c>
      <c r="B17" s="16">
        <f t="shared" si="0"/>
        <v>66125.693194280597</v>
      </c>
      <c r="C17" s="16">
        <f t="shared" si="0"/>
        <v>76018.481804103823</v>
      </c>
      <c r="D17" s="16">
        <f t="shared" si="0"/>
        <v>87371.102571474854</v>
      </c>
      <c r="E17" s="16">
        <f t="shared" si="0"/>
        <v>100396.00763371168</v>
      </c>
      <c r="G17" s="1" t="s">
        <v>70</v>
      </c>
      <c r="H17" s="1"/>
      <c r="I17" s="1"/>
      <c r="J17" s="1"/>
      <c r="K17" s="1"/>
      <c r="L17" s="1"/>
      <c r="M17" s="1"/>
      <c r="N17" s="1"/>
    </row>
    <row r="18" spans="1:14" x14ac:dyDescent="0.15">
      <c r="A18" s="14">
        <v>8</v>
      </c>
      <c r="B18" s="16">
        <f t="shared" si="0"/>
        <v>68819.755961656294</v>
      </c>
      <c r="C18" s="16">
        <f t="shared" si="0"/>
        <v>80707.135423042069</v>
      </c>
      <c r="D18" s="16">
        <f t="shared" si="0"/>
        <v>94622.860994135655</v>
      </c>
      <c r="E18" s="16">
        <f t="shared" si="0"/>
        <v>110908.7815518975</v>
      </c>
      <c r="G18" s="1"/>
      <c r="H18" s="1"/>
      <c r="I18" s="1"/>
      <c r="J18" s="1"/>
      <c r="K18" s="1"/>
      <c r="L18" s="1"/>
      <c r="M18" s="1"/>
      <c r="N18" s="1"/>
    </row>
    <row r="19" spans="1:14" x14ac:dyDescent="0.15">
      <c r="A19" s="14">
        <v>9</v>
      </c>
      <c r="B19" s="16">
        <f t="shared" si="0"/>
        <v>71623.579002897633</v>
      </c>
      <c r="C19" s="16">
        <f t="shared" si="0"/>
        <v>85684.974937786988</v>
      </c>
      <c r="D19" s="16">
        <f t="shared" si="0"/>
        <v>102476.51178936448</v>
      </c>
      <c r="E19" s="16">
        <f t="shared" si="0"/>
        <v>122522.38027437338</v>
      </c>
      <c r="G19" s="1"/>
      <c r="H19" s="1"/>
      <c r="I19" s="1"/>
      <c r="J19" s="1"/>
      <c r="K19" s="1"/>
      <c r="L19" s="1"/>
      <c r="M19" s="1"/>
      <c r="N19" s="1"/>
    </row>
    <row r="20" spans="1:14" x14ac:dyDescent="0.15">
      <c r="A20" s="14">
        <v>10</v>
      </c>
      <c r="B20" s="16">
        <f t="shared" si="0"/>
        <v>74541.634120913208</v>
      </c>
      <c r="C20" s="16">
        <f t="shared" si="0"/>
        <v>90969.836701614011</v>
      </c>
      <c r="D20" s="16">
        <f t="shared" si="0"/>
        <v>110982.01172723572</v>
      </c>
      <c r="E20" s="16">
        <f t="shared" si="0"/>
        <v>135352.07454311204</v>
      </c>
    </row>
    <row r="21" spans="1:14" ht="15" customHeight="1" x14ac:dyDescent="0.15">
      <c r="A21" s="14">
        <v>11</v>
      </c>
      <c r="B21" s="16">
        <f t="shared" si="0"/>
        <v>77578.575306761748</v>
      </c>
      <c r="C21" s="16">
        <f t="shared" si="0"/>
        <v>96580.657175040236</v>
      </c>
      <c r="D21" s="16">
        <f t="shared" si="0"/>
        <v>120193.46396510158</v>
      </c>
      <c r="E21" s="16">
        <f t="shared" si="0"/>
        <v>149525.20545306432</v>
      </c>
      <c r="G21" s="2" t="s">
        <v>71</v>
      </c>
      <c r="H21" s="2"/>
      <c r="I21" s="2"/>
      <c r="J21" s="2"/>
      <c r="K21" s="2"/>
      <c r="L21" s="2"/>
      <c r="M21" s="2"/>
      <c r="N21" s="2"/>
    </row>
    <row r="22" spans="1:14" x14ac:dyDescent="0.15">
      <c r="A22" s="14">
        <v>12</v>
      </c>
      <c r="B22" s="16">
        <f t="shared" si="0"/>
        <v>80739.246162278389</v>
      </c>
      <c r="C22" s="16">
        <f t="shared" si="0"/>
        <v>102537.54077803189</v>
      </c>
      <c r="D22" s="16">
        <f t="shared" si="0"/>
        <v>130169.46219569123</v>
      </c>
      <c r="E22" s="16">
        <f t="shared" si="0"/>
        <v>165182.4483758448</v>
      </c>
      <c r="G22" s="2"/>
      <c r="H22" s="2"/>
      <c r="I22" s="2"/>
      <c r="J22" s="2"/>
      <c r="K22" s="2"/>
      <c r="L22" s="2"/>
      <c r="M22" s="2"/>
      <c r="N22" s="2"/>
    </row>
    <row r="23" spans="1:14" ht="15" customHeight="1" x14ac:dyDescent="0.15">
      <c r="A23" s="14">
        <v>13</v>
      </c>
      <c r="B23" s="16">
        <f t="shared" si="0"/>
        <v>84028.687625110426</v>
      </c>
      <c r="C23" s="16">
        <f t="shared" si="0"/>
        <v>108861.83192718761</v>
      </c>
      <c r="D23" s="16">
        <f t="shared" si="0"/>
        <v>140973.46335933241</v>
      </c>
      <c r="E23" s="16">
        <f t="shared" si="0"/>
        <v>182479.20923274319</v>
      </c>
      <c r="G23" s="1" t="s">
        <v>72</v>
      </c>
      <c r="H23" s="1"/>
      <c r="I23" s="1"/>
      <c r="J23" s="1"/>
      <c r="K23" s="1"/>
      <c r="L23" s="1"/>
      <c r="M23" s="1"/>
      <c r="N23" s="1"/>
    </row>
    <row r="24" spans="1:14" x14ac:dyDescent="0.15">
      <c r="A24" s="14">
        <v>14</v>
      </c>
      <c r="B24" s="16">
        <f t="shared" si="0"/>
        <v>87452.146008482538</v>
      </c>
      <c r="C24" s="16">
        <f t="shared" si="0"/>
        <v>115576.19151601725</v>
      </c>
      <c r="D24" s="16">
        <f t="shared" si="0"/>
        <v>152674.19129110361</v>
      </c>
      <c r="E24" s="16">
        <f t="shared" si="0"/>
        <v>201587.1669757659</v>
      </c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14">
        <v>15</v>
      </c>
      <c r="B25" s="16">
        <f t="shared" si="0"/>
        <v>91015.081368514933</v>
      </c>
      <c r="C25" s="16">
        <f t="shared" si="0"/>
        <v>122704.6781123573</v>
      </c>
      <c r="D25" s="16">
        <f t="shared" si="0"/>
        <v>165346.07387050064</v>
      </c>
      <c r="E25" s="16">
        <f t="shared" si="0"/>
        <v>222695.97758659921</v>
      </c>
      <c r="G25" s="1"/>
      <c r="H25" s="1"/>
      <c r="I25" s="1"/>
      <c r="J25" s="1"/>
      <c r="K25" s="1"/>
      <c r="L25" s="1"/>
      <c r="M25" s="1"/>
      <c r="N25" s="1"/>
    </row>
    <row r="26" spans="1:14" x14ac:dyDescent="0.15">
      <c r="A26" s="14">
        <v>16</v>
      </c>
      <c r="B26" s="16">
        <f t="shared" si="0"/>
        <v>94723.176212438528</v>
      </c>
      <c r="C26" s="16">
        <f t="shared" si="0"/>
        <v>130272.83416386502</v>
      </c>
      <c r="D26" s="16">
        <f t="shared" si="0"/>
        <v>179069.71645431031</v>
      </c>
      <c r="E26" s="16">
        <f t="shared" si="0"/>
        <v>246015.15650653027</v>
      </c>
    </row>
    <row r="27" spans="1:14" ht="15" customHeight="1" x14ac:dyDescent="0.15">
      <c r="A27" s="14">
        <v>17</v>
      </c>
      <c r="B27" s="16">
        <f t="shared" si="0"/>
        <v>98582.344561596503</v>
      </c>
      <c r="C27" s="16">
        <f t="shared" si="0"/>
        <v>138307.77752047879</v>
      </c>
      <c r="D27" s="16">
        <f t="shared" si="0"/>
        <v>193932.41460417872</v>
      </c>
      <c r="E27" s="16">
        <f t="shared" si="0"/>
        <v>271776.15818137978</v>
      </c>
      <c r="G27" s="2" t="s">
        <v>73</v>
      </c>
      <c r="H27" s="2"/>
      <c r="I27" s="2"/>
      <c r="J27" s="2"/>
      <c r="K27" s="2"/>
      <c r="L27" s="2"/>
      <c r="M27" s="2"/>
      <c r="N27" s="2"/>
    </row>
    <row r="28" spans="1:14" ht="15" customHeight="1" x14ac:dyDescent="0.15">
      <c r="A28" s="14">
        <v>18</v>
      </c>
      <c r="B28" s="16">
        <f t="shared" si="0"/>
        <v>102598.74138368639</v>
      </c>
      <c r="C28" s="16">
        <f t="shared" si="0"/>
        <v>146838.2986017837</v>
      </c>
      <c r="D28" s="16">
        <f t="shared" si="0"/>
        <v>210028.70937031513</v>
      </c>
      <c r="E28" s="16">
        <f t="shared" si="0"/>
        <v>300234.67336196313</v>
      </c>
      <c r="G28" s="1" t="s">
        <v>74</v>
      </c>
      <c r="H28" s="1"/>
      <c r="I28" s="1"/>
      <c r="J28" s="1"/>
      <c r="K28" s="1"/>
      <c r="L28" s="1"/>
      <c r="M28" s="1"/>
      <c r="N28" s="1"/>
    </row>
    <row r="29" spans="1:14" x14ac:dyDescent="0.15">
      <c r="A29" s="14">
        <v>19</v>
      </c>
      <c r="B29" s="16">
        <f t="shared" si="0"/>
        <v>106778.77240928635</v>
      </c>
      <c r="C29" s="16">
        <f t="shared" si="0"/>
        <v>155894.96355744739</v>
      </c>
      <c r="D29" s="16">
        <f t="shared" si="0"/>
        <v>227460.98866346912</v>
      </c>
      <c r="E29" s="16">
        <f t="shared" si="0"/>
        <v>331673.16696193005</v>
      </c>
      <c r="G29" s="1"/>
      <c r="H29" s="1"/>
      <c r="I29" s="1"/>
      <c r="J29" s="1"/>
      <c r="K29" s="1"/>
      <c r="L29" s="1"/>
      <c r="M29" s="1"/>
      <c r="N29" s="1"/>
    </row>
    <row r="30" spans="1:14" x14ac:dyDescent="0.15">
      <c r="A30" s="14">
        <v>20</v>
      </c>
      <c r="B30" s="16">
        <f t="shared" si="0"/>
        <v>111129.10434832187</v>
      </c>
      <c r="C30" s="16">
        <f t="shared" si="0"/>
        <v>165510.22379036635</v>
      </c>
      <c r="D30" s="16">
        <f t="shared" si="0"/>
        <v>246340.1385404857</v>
      </c>
      <c r="E30" s="16">
        <f t="shared" si="0"/>
        <v>366403.68166248314</v>
      </c>
      <c r="G30" s="1"/>
      <c r="H30" s="1"/>
      <c r="I30" s="1"/>
      <c r="J30" s="1"/>
      <c r="K30" s="1"/>
      <c r="L30" s="1"/>
      <c r="M30" s="1"/>
      <c r="N30" s="1"/>
    </row>
    <row r="32" spans="1:14" ht="15" customHeight="1" x14ac:dyDescent="0.15">
      <c r="A32" s="8" t="s">
        <v>75</v>
      </c>
      <c r="G32" s="2" t="s">
        <v>76</v>
      </c>
      <c r="H32" s="2"/>
      <c r="I32" s="2"/>
      <c r="J32" s="2"/>
      <c r="K32" s="2"/>
      <c r="L32" s="2"/>
      <c r="M32" s="2"/>
      <c r="N32" s="2"/>
    </row>
    <row r="33" spans="1:14" x14ac:dyDescent="0.15">
      <c r="A33" t="s">
        <v>65</v>
      </c>
      <c r="B33" s="13">
        <v>0.06</v>
      </c>
      <c r="G33" s="2"/>
      <c r="H33" s="2"/>
      <c r="I33" s="2"/>
      <c r="J33" s="2"/>
      <c r="K33" s="2"/>
      <c r="L33" s="2"/>
      <c r="M33" s="2"/>
      <c r="N33" s="2"/>
    </row>
    <row r="34" spans="1:14" ht="15" customHeight="1" x14ac:dyDescent="0.15">
      <c r="G34" s="1" t="s">
        <v>77</v>
      </c>
      <c r="H34" s="1"/>
      <c r="I34" s="1"/>
      <c r="J34" s="1"/>
      <c r="K34" s="1"/>
      <c r="L34" s="1"/>
      <c r="M34" s="1"/>
      <c r="N34" s="1"/>
    </row>
    <row r="35" spans="1:14" x14ac:dyDescent="0.15">
      <c r="A35" s="6" t="s">
        <v>78</v>
      </c>
      <c r="B35" s="18" t="s">
        <v>79</v>
      </c>
      <c r="C35" s="18" t="s">
        <v>80</v>
      </c>
      <c r="D35" s="18" t="s">
        <v>81</v>
      </c>
      <c r="E35" s="18" t="s">
        <v>82</v>
      </c>
      <c r="G35" s="1"/>
      <c r="H35" s="1"/>
      <c r="I35" s="1"/>
      <c r="J35" s="1"/>
      <c r="K35" s="1"/>
      <c r="L35" s="1"/>
      <c r="M35" s="1"/>
      <c r="N35" s="1"/>
    </row>
    <row r="36" spans="1:14" x14ac:dyDescent="0.15">
      <c r="A36" s="6" t="s">
        <v>83</v>
      </c>
      <c r="B36" s="17">
        <v>1</v>
      </c>
      <c r="C36" s="17">
        <v>4</v>
      </c>
      <c r="D36" s="17">
        <v>12</v>
      </c>
      <c r="E36" s="17">
        <v>365</v>
      </c>
      <c r="G36" s="1"/>
      <c r="H36" s="1"/>
      <c r="I36" s="1"/>
      <c r="J36" s="1"/>
      <c r="K36" s="1"/>
      <c r="L36" s="1"/>
      <c r="M36" s="1"/>
      <c r="N36" s="1"/>
    </row>
    <row r="37" spans="1:14" ht="19.5" customHeight="1" x14ac:dyDescent="0.15">
      <c r="A37" s="11" t="s">
        <v>44</v>
      </c>
      <c r="B37" s="11" t="s">
        <v>84</v>
      </c>
      <c r="C37" s="11" t="s">
        <v>85</v>
      </c>
      <c r="D37" s="11" t="s">
        <v>86</v>
      </c>
      <c r="E37" s="11" t="s">
        <v>87</v>
      </c>
    </row>
    <row r="38" spans="1:14" ht="15" customHeight="1" x14ac:dyDescent="0.15">
      <c r="A38" s="14">
        <v>0</v>
      </c>
      <c r="B38" s="15">
        <f>$B$5</f>
        <v>50000</v>
      </c>
      <c r="C38" s="15">
        <f>$B$5</f>
        <v>50000</v>
      </c>
      <c r="D38" s="15">
        <f>$B$5</f>
        <v>50000</v>
      </c>
      <c r="E38" s="15">
        <f>$B$5</f>
        <v>50000</v>
      </c>
      <c r="G38" s="2" t="s">
        <v>88</v>
      </c>
      <c r="H38" s="2"/>
      <c r="I38" s="2"/>
      <c r="J38" s="2"/>
      <c r="K38" s="2"/>
      <c r="L38" s="2"/>
      <c r="M38" s="2"/>
      <c r="N38" s="2"/>
    </row>
    <row r="39" spans="1:14" x14ac:dyDescent="0.15">
      <c r="A39" s="14">
        <v>1</v>
      </c>
      <c r="B39" s="16">
        <f t="shared" ref="B39:E48" si="1">$B$5*(1+$B$33/B$36)^(B$36*$A39)</f>
        <v>53000</v>
      </c>
      <c r="C39" s="16">
        <f t="shared" si="1"/>
        <v>53068.177531249974</v>
      </c>
      <c r="D39" s="16">
        <f t="shared" si="1"/>
        <v>53083.890593224882</v>
      </c>
      <c r="E39" s="16">
        <f t="shared" si="1"/>
        <v>53091.56553389335</v>
      </c>
      <c r="G39" s="2"/>
      <c r="H39" s="2"/>
      <c r="I39" s="2"/>
      <c r="J39" s="2"/>
      <c r="K39" s="2"/>
      <c r="L39" s="2"/>
      <c r="M39" s="2"/>
      <c r="N39" s="2"/>
    </row>
    <row r="40" spans="1:14" ht="15" customHeight="1" x14ac:dyDescent="0.15">
      <c r="A40" s="14">
        <v>2</v>
      </c>
      <c r="B40" s="16">
        <f t="shared" si="1"/>
        <v>56180.000000000007</v>
      </c>
      <c r="C40" s="16">
        <f t="shared" si="1"/>
        <v>56324.629329765288</v>
      </c>
      <c r="D40" s="16">
        <f t="shared" si="1"/>
        <v>56357.988810269388</v>
      </c>
      <c r="E40" s="16">
        <f t="shared" si="1"/>
        <v>56374.28661679387</v>
      </c>
      <c r="G40" s="1" t="s">
        <v>89</v>
      </c>
      <c r="H40" s="1"/>
      <c r="I40" s="1"/>
      <c r="J40" s="1"/>
      <c r="K40" s="1"/>
      <c r="L40" s="1"/>
      <c r="M40" s="1"/>
      <c r="N40" s="1"/>
    </row>
    <row r="41" spans="1:14" x14ac:dyDescent="0.15">
      <c r="A41" s="14">
        <v>3</v>
      </c>
      <c r="B41" s="16">
        <f t="shared" si="1"/>
        <v>59550.800000000017</v>
      </c>
      <c r="C41" s="16">
        <f t="shared" si="1"/>
        <v>59780.90857307666</v>
      </c>
      <c r="D41" s="16">
        <f t="shared" si="1"/>
        <v>59834.026241170635</v>
      </c>
      <c r="E41" s="16">
        <f t="shared" si="1"/>
        <v>59859.982646839962</v>
      </c>
      <c r="G41" s="1"/>
      <c r="H41" s="1"/>
      <c r="I41" s="1"/>
      <c r="J41" s="1"/>
      <c r="K41" s="1"/>
      <c r="L41" s="1"/>
      <c r="M41" s="1"/>
      <c r="N41" s="1"/>
    </row>
    <row r="42" spans="1:14" x14ac:dyDescent="0.15">
      <c r="A42" s="14">
        <v>4</v>
      </c>
      <c r="B42" s="16">
        <f t="shared" si="1"/>
        <v>63123.848000000013</v>
      </c>
      <c r="C42" s="16">
        <f t="shared" si="1"/>
        <v>63449.277382709115</v>
      </c>
      <c r="D42" s="16">
        <f t="shared" si="1"/>
        <v>63524.458054768977</v>
      </c>
      <c r="E42" s="16">
        <f t="shared" si="1"/>
        <v>63561.203831048442</v>
      </c>
      <c r="G42" s="1"/>
      <c r="H42" s="1"/>
      <c r="I42" s="1"/>
      <c r="J42" s="1"/>
      <c r="K42" s="1"/>
      <c r="L42" s="1"/>
      <c r="M42" s="1"/>
      <c r="N42" s="1"/>
    </row>
    <row r="43" spans="1:14" x14ac:dyDescent="0.15">
      <c r="A43" s="14">
        <v>5</v>
      </c>
      <c r="B43" s="16">
        <f t="shared" si="1"/>
        <v>66911.278880000027</v>
      </c>
      <c r="C43" s="16">
        <f t="shared" si="1"/>
        <v>67342.75032750261</v>
      </c>
      <c r="D43" s="16">
        <f t="shared" si="1"/>
        <v>67442.50762746518</v>
      </c>
      <c r="E43" s="16">
        <f t="shared" si="1"/>
        <v>67491.27637218521</v>
      </c>
    </row>
    <row r="44" spans="1:14" ht="15" customHeight="1" x14ac:dyDescent="0.15">
      <c r="A44" s="14">
        <v>6</v>
      </c>
      <c r="B44" s="16">
        <f t="shared" si="1"/>
        <v>70925.955612800026</v>
      </c>
      <c r="C44" s="16">
        <f t="shared" si="1"/>
        <v>71475.14059645102</v>
      </c>
      <c r="D44" s="16">
        <f t="shared" si="1"/>
        <v>71602.213924581942</v>
      </c>
      <c r="E44" s="16">
        <f t="shared" si="1"/>
        <v>71664.350449599588</v>
      </c>
      <c r="G44" s="2" t="s">
        <v>90</v>
      </c>
      <c r="H44" s="2"/>
      <c r="I44" s="2"/>
      <c r="J44" s="2"/>
      <c r="K44" s="2"/>
      <c r="L44" s="2"/>
      <c r="M44" s="2"/>
      <c r="N44" s="2"/>
    </row>
    <row r="45" spans="1:14" x14ac:dyDescent="0.15">
      <c r="A45" s="14">
        <v>7</v>
      </c>
      <c r="B45" s="16">
        <f t="shared" si="1"/>
        <v>75181.512949568045</v>
      </c>
      <c r="C45" s="16">
        <f t="shared" si="1"/>
        <v>75861.10900487029</v>
      </c>
      <c r="D45" s="16">
        <f t="shared" si="1"/>
        <v>76018.481804103823</v>
      </c>
      <c r="E45" s="16">
        <f t="shared" si="1"/>
        <v>76095.451166776314</v>
      </c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14">
        <v>8</v>
      </c>
      <c r="B46" s="16">
        <f t="shared" si="1"/>
        <v>79692.403726542121</v>
      </c>
      <c r="C46" s="16">
        <f t="shared" si="1"/>
        <v>80516.216007759242</v>
      </c>
      <c r="D46" s="16">
        <f t="shared" si="1"/>
        <v>80707.135423042069</v>
      </c>
      <c r="E46" s="16">
        <f t="shared" si="1"/>
        <v>80800.53264904175</v>
      </c>
      <c r="G46" s="2"/>
      <c r="H46" s="2"/>
      <c r="I46" s="2"/>
      <c r="J46" s="2"/>
      <c r="K46" s="2"/>
      <c r="L46" s="2"/>
      <c r="M46" s="2"/>
      <c r="N46" s="2"/>
    </row>
    <row r="47" spans="1:14" ht="15" customHeight="1" x14ac:dyDescent="0.15">
      <c r="A47" s="14">
        <v>9</v>
      </c>
      <c r="B47" s="16">
        <f t="shared" si="1"/>
        <v>84473.947950134636</v>
      </c>
      <c r="C47" s="16">
        <f t="shared" si="1"/>
        <v>85456.976904884767</v>
      </c>
      <c r="D47" s="16">
        <f t="shared" si="1"/>
        <v>85684.974937786988</v>
      </c>
      <c r="E47" s="16">
        <f t="shared" si="1"/>
        <v>85796.53548620177</v>
      </c>
      <c r="G47" s="1" t="s">
        <v>91</v>
      </c>
      <c r="H47" s="1"/>
      <c r="I47" s="1"/>
      <c r="J47" s="1"/>
      <c r="K47" s="1"/>
      <c r="L47" s="1"/>
      <c r="M47" s="1"/>
      <c r="N47" s="1"/>
    </row>
    <row r="48" spans="1:14" x14ac:dyDescent="0.15">
      <c r="A48" s="14">
        <v>10</v>
      </c>
      <c r="B48" s="16">
        <f t="shared" si="1"/>
        <v>89542.384827142727</v>
      </c>
      <c r="C48" s="16">
        <f t="shared" si="1"/>
        <v>90700.920433447071</v>
      </c>
      <c r="D48" s="16">
        <f t="shared" si="1"/>
        <v>90969.836701614011</v>
      </c>
      <c r="E48" s="16">
        <f t="shared" si="1"/>
        <v>91101.447726933766</v>
      </c>
      <c r="G48" s="1"/>
      <c r="H48" s="1"/>
      <c r="I48" s="1"/>
      <c r="J48" s="1"/>
      <c r="K48" s="1"/>
      <c r="L48" s="1"/>
      <c r="M48" s="1"/>
      <c r="N48" s="1"/>
    </row>
    <row r="49" spans="7:14" x14ac:dyDescent="0.15">
      <c r="G49" s="1"/>
      <c r="H49" s="1"/>
      <c r="I49" s="1"/>
      <c r="J49" s="1"/>
      <c r="K49" s="1"/>
      <c r="L49" s="1"/>
      <c r="M49" s="1"/>
      <c r="N49" s="1"/>
    </row>
  </sheetData>
  <mergeCells count="18">
    <mergeCell ref="G40:N42"/>
    <mergeCell ref="G44:N46"/>
    <mergeCell ref="G47:N49"/>
    <mergeCell ref="G27:N27"/>
    <mergeCell ref="G28:N30"/>
    <mergeCell ref="G32:N33"/>
    <mergeCell ref="G34:N36"/>
    <mergeCell ref="G38:N39"/>
    <mergeCell ref="G12:N13"/>
    <mergeCell ref="G16:N16"/>
    <mergeCell ref="G17:N19"/>
    <mergeCell ref="G21:N22"/>
    <mergeCell ref="G23:N25"/>
    <mergeCell ref="A1:N1"/>
    <mergeCell ref="A2:N2"/>
    <mergeCell ref="G5:N7"/>
    <mergeCell ref="G8:N9"/>
    <mergeCell ref="G10:N11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8"/>
  <sheetViews>
    <sheetView showGridLines="0" zoomScaleNormal="100" workbookViewId="0">
      <selection sqref="A1:N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35</v>
      </c>
      <c r="G4" s="8" t="s">
        <v>36</v>
      </c>
    </row>
    <row r="5" spans="1:14" ht="15" customHeight="1" x14ac:dyDescent="0.15">
      <c r="A5" t="s">
        <v>94</v>
      </c>
      <c r="B5" s="10">
        <v>12000</v>
      </c>
      <c r="G5" s="3" t="s">
        <v>95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96</v>
      </c>
      <c r="B6" s="10">
        <v>800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97</v>
      </c>
      <c r="B7" s="13">
        <v>0.15</v>
      </c>
      <c r="G7" s="3" t="s">
        <v>98</v>
      </c>
      <c r="H7" s="3"/>
      <c r="I7" s="3"/>
      <c r="J7" s="3"/>
      <c r="K7" s="3"/>
      <c r="L7" s="3"/>
      <c r="M7" s="3"/>
      <c r="N7" s="3"/>
    </row>
    <row r="8" spans="1:14" x14ac:dyDescent="0.15">
      <c r="G8" s="3"/>
      <c r="H8" s="3"/>
      <c r="I8" s="3"/>
      <c r="J8" s="3"/>
      <c r="K8" s="3"/>
      <c r="L8" s="3"/>
      <c r="M8" s="3"/>
      <c r="N8" s="3"/>
    </row>
    <row r="9" spans="1:14" ht="15" customHeight="1" x14ac:dyDescent="0.15">
      <c r="A9" s="8" t="s">
        <v>42</v>
      </c>
      <c r="G9" s="3" t="s">
        <v>43</v>
      </c>
      <c r="H9" s="3"/>
      <c r="I9" s="3"/>
      <c r="J9" s="3"/>
      <c r="K9" s="3"/>
      <c r="L9" s="3"/>
      <c r="M9" s="3"/>
      <c r="N9" s="3"/>
    </row>
    <row r="10" spans="1:14" ht="43.5" customHeight="1" x14ac:dyDescent="0.15">
      <c r="A10" s="11" t="s">
        <v>44</v>
      </c>
      <c r="B10" s="11" t="s">
        <v>99</v>
      </c>
      <c r="C10" s="11" t="s">
        <v>100</v>
      </c>
      <c r="D10" s="11" t="s">
        <v>101</v>
      </c>
      <c r="G10" s="2" t="s">
        <v>102</v>
      </c>
      <c r="H10" s="2"/>
      <c r="I10" s="2"/>
      <c r="J10" s="2"/>
      <c r="K10" s="2"/>
      <c r="L10" s="2"/>
      <c r="M10" s="2"/>
      <c r="N10" s="2"/>
    </row>
    <row r="11" spans="1:14" x14ac:dyDescent="0.15">
      <c r="A11" s="14">
        <v>0</v>
      </c>
      <c r="B11" s="15">
        <f>$B$5</f>
        <v>12000</v>
      </c>
      <c r="C11" s="15">
        <f>$B$5</f>
        <v>12000</v>
      </c>
      <c r="D11" s="15">
        <f t="shared" ref="D11:D31" si="0">B11-C11</f>
        <v>0</v>
      </c>
      <c r="G11" s="2"/>
      <c r="H11" s="2"/>
      <c r="I11" s="2"/>
      <c r="J11" s="2"/>
      <c r="K11" s="2"/>
      <c r="L11" s="2"/>
      <c r="M11" s="2"/>
      <c r="N11" s="2"/>
    </row>
    <row r="12" spans="1:14" x14ac:dyDescent="0.15">
      <c r="A12" s="14">
        <v>1</v>
      </c>
      <c r="B12" s="16">
        <f t="shared" ref="B12:B31" si="1">MAX(0,$B$5-$B$6*A12)</f>
        <v>11200</v>
      </c>
      <c r="C12" s="16">
        <f t="shared" ref="C12:C31" si="2">$B$5*(1-$B$7)^A12</f>
        <v>10200</v>
      </c>
      <c r="D12" s="16">
        <f t="shared" si="0"/>
        <v>1000</v>
      </c>
    </row>
    <row r="13" spans="1:14" ht="14" x14ac:dyDescent="0.15">
      <c r="A13" s="14">
        <v>2</v>
      </c>
      <c r="B13" s="16">
        <f t="shared" si="1"/>
        <v>10400</v>
      </c>
      <c r="C13" s="16">
        <f t="shared" si="2"/>
        <v>8669.9999999999982</v>
      </c>
      <c r="D13" s="16">
        <f t="shared" si="0"/>
        <v>1730.0000000000018</v>
      </c>
      <c r="G13" s="8" t="s">
        <v>49</v>
      </c>
    </row>
    <row r="14" spans="1:14" ht="15" customHeight="1" x14ac:dyDescent="0.15">
      <c r="A14" s="14">
        <v>3</v>
      </c>
      <c r="B14" s="16">
        <f t="shared" si="1"/>
        <v>9600</v>
      </c>
      <c r="C14" s="16">
        <f t="shared" si="2"/>
        <v>7369.4999999999991</v>
      </c>
      <c r="D14" s="16">
        <f t="shared" si="0"/>
        <v>2230.5000000000009</v>
      </c>
      <c r="G14" s="2" t="s">
        <v>103</v>
      </c>
      <c r="H14" s="2"/>
      <c r="I14" s="2"/>
      <c r="J14" s="2"/>
      <c r="K14" s="2"/>
      <c r="L14" s="2"/>
      <c r="M14" s="2"/>
      <c r="N14" s="2"/>
    </row>
    <row r="15" spans="1:14" x14ac:dyDescent="0.15">
      <c r="A15" s="14">
        <v>4</v>
      </c>
      <c r="B15" s="16">
        <f t="shared" si="1"/>
        <v>8800</v>
      </c>
      <c r="C15" s="16">
        <f t="shared" si="2"/>
        <v>6264.0749999999989</v>
      </c>
      <c r="D15" s="16">
        <f t="shared" si="0"/>
        <v>2535.9250000000011</v>
      </c>
      <c r="G15" s="2"/>
      <c r="H15" s="2"/>
      <c r="I15" s="2"/>
      <c r="J15" s="2"/>
      <c r="K15" s="2"/>
      <c r="L15" s="2"/>
      <c r="M15" s="2"/>
      <c r="N15" s="2"/>
    </row>
    <row r="16" spans="1:14" ht="15" customHeight="1" x14ac:dyDescent="0.15">
      <c r="A16" s="14">
        <v>5</v>
      </c>
      <c r="B16" s="16">
        <f t="shared" si="1"/>
        <v>8000</v>
      </c>
      <c r="C16" s="16">
        <f t="shared" si="2"/>
        <v>5324.463749999999</v>
      </c>
      <c r="D16" s="16">
        <f t="shared" si="0"/>
        <v>2675.536250000001</v>
      </c>
      <c r="G16" s="1" t="s">
        <v>104</v>
      </c>
      <c r="H16" s="1"/>
      <c r="I16" s="1"/>
      <c r="J16" s="1"/>
      <c r="K16" s="1"/>
      <c r="L16" s="1"/>
      <c r="M16" s="1"/>
      <c r="N16" s="1"/>
    </row>
    <row r="17" spans="1:14" x14ac:dyDescent="0.15">
      <c r="A17" s="14">
        <v>6</v>
      </c>
      <c r="B17" s="16">
        <f t="shared" si="1"/>
        <v>7200</v>
      </c>
      <c r="C17" s="16">
        <f t="shared" si="2"/>
        <v>4525.7941874999988</v>
      </c>
      <c r="D17" s="16">
        <f t="shared" si="0"/>
        <v>2674.2058125000012</v>
      </c>
      <c r="G17" s="1"/>
      <c r="H17" s="1"/>
      <c r="I17" s="1"/>
      <c r="J17" s="1"/>
      <c r="K17" s="1"/>
      <c r="L17" s="1"/>
      <c r="M17" s="1"/>
      <c r="N17" s="1"/>
    </row>
    <row r="18" spans="1:14" x14ac:dyDescent="0.15">
      <c r="A18" s="14">
        <v>7</v>
      </c>
      <c r="B18" s="16">
        <f t="shared" si="1"/>
        <v>6400</v>
      </c>
      <c r="C18" s="16">
        <f t="shared" si="2"/>
        <v>3846.9250593749985</v>
      </c>
      <c r="D18" s="16">
        <f t="shared" si="0"/>
        <v>2553.0749406250015</v>
      </c>
      <c r="G18" s="1"/>
      <c r="H18" s="1"/>
      <c r="I18" s="1"/>
      <c r="J18" s="1"/>
      <c r="K18" s="1"/>
      <c r="L18" s="1"/>
      <c r="M18" s="1"/>
      <c r="N18" s="1"/>
    </row>
    <row r="19" spans="1:14" x14ac:dyDescent="0.15">
      <c r="A19" s="14">
        <v>8</v>
      </c>
      <c r="B19" s="16">
        <f t="shared" si="1"/>
        <v>5600</v>
      </c>
      <c r="C19" s="16">
        <f t="shared" si="2"/>
        <v>3269.8863004687487</v>
      </c>
      <c r="D19" s="16">
        <f t="shared" si="0"/>
        <v>2330.1136995312513</v>
      </c>
    </row>
    <row r="20" spans="1:14" ht="15" customHeight="1" x14ac:dyDescent="0.15">
      <c r="A20" s="14">
        <v>9</v>
      </c>
      <c r="B20" s="16">
        <f t="shared" si="1"/>
        <v>4800</v>
      </c>
      <c r="C20" s="16">
        <f t="shared" si="2"/>
        <v>2779.4033553984364</v>
      </c>
      <c r="D20" s="16">
        <f t="shared" si="0"/>
        <v>2020.5966446015636</v>
      </c>
      <c r="G20" s="2" t="s">
        <v>105</v>
      </c>
      <c r="H20" s="2"/>
      <c r="I20" s="2"/>
      <c r="J20" s="2"/>
      <c r="K20" s="2"/>
      <c r="L20" s="2"/>
      <c r="M20" s="2"/>
      <c r="N20" s="2"/>
    </row>
    <row r="21" spans="1:14" x14ac:dyDescent="0.15">
      <c r="A21" s="14">
        <v>10</v>
      </c>
      <c r="B21" s="16">
        <f t="shared" si="1"/>
        <v>4000</v>
      </c>
      <c r="C21" s="16">
        <f t="shared" si="2"/>
        <v>2362.4928520886706</v>
      </c>
      <c r="D21" s="16">
        <f t="shared" si="0"/>
        <v>1637.5071479113294</v>
      </c>
      <c r="G21" s="2"/>
      <c r="H21" s="2"/>
      <c r="I21" s="2"/>
      <c r="J21" s="2"/>
      <c r="K21" s="2"/>
      <c r="L21" s="2"/>
      <c r="M21" s="2"/>
      <c r="N21" s="2"/>
    </row>
    <row r="22" spans="1:14" ht="15" customHeight="1" x14ac:dyDescent="0.15">
      <c r="A22" s="14">
        <v>11</v>
      </c>
      <c r="B22" s="16">
        <f t="shared" si="1"/>
        <v>3200</v>
      </c>
      <c r="C22" s="16">
        <f t="shared" si="2"/>
        <v>2008.1189242753701</v>
      </c>
      <c r="D22" s="16">
        <f t="shared" si="0"/>
        <v>1191.8810757246299</v>
      </c>
      <c r="G22" s="1" t="s">
        <v>106</v>
      </c>
      <c r="H22" s="1"/>
      <c r="I22" s="1"/>
      <c r="J22" s="1"/>
      <c r="K22" s="1"/>
      <c r="L22" s="1"/>
      <c r="M22" s="1"/>
      <c r="N22" s="1"/>
    </row>
    <row r="23" spans="1:14" x14ac:dyDescent="0.15">
      <c r="A23" s="14">
        <v>12</v>
      </c>
      <c r="B23" s="16">
        <f t="shared" si="1"/>
        <v>2400</v>
      </c>
      <c r="C23" s="16">
        <f t="shared" si="2"/>
        <v>1706.9010856340644</v>
      </c>
      <c r="D23" s="16">
        <f t="shared" si="0"/>
        <v>693.09891436593557</v>
      </c>
      <c r="G23" s="1"/>
      <c r="H23" s="1"/>
      <c r="I23" s="1"/>
      <c r="J23" s="1"/>
      <c r="K23" s="1"/>
      <c r="L23" s="1"/>
      <c r="M23" s="1"/>
      <c r="N23" s="1"/>
    </row>
    <row r="24" spans="1:14" x14ac:dyDescent="0.15">
      <c r="A24" s="14">
        <v>13</v>
      </c>
      <c r="B24" s="16">
        <f t="shared" si="1"/>
        <v>1600</v>
      </c>
      <c r="C24" s="16">
        <f t="shared" si="2"/>
        <v>1450.8659227889548</v>
      </c>
      <c r="D24" s="16">
        <f t="shared" si="0"/>
        <v>149.13407721104522</v>
      </c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14">
        <v>14</v>
      </c>
      <c r="B25" s="16">
        <f t="shared" si="1"/>
        <v>800</v>
      </c>
      <c r="C25" s="16">
        <f t="shared" si="2"/>
        <v>1233.2360343706114</v>
      </c>
      <c r="D25" s="16">
        <f t="shared" si="0"/>
        <v>-433.23603437061138</v>
      </c>
    </row>
    <row r="26" spans="1:14" ht="15" customHeight="1" x14ac:dyDescent="0.15">
      <c r="A26" s="14">
        <v>15</v>
      </c>
      <c r="B26" s="16">
        <f t="shared" si="1"/>
        <v>0</v>
      </c>
      <c r="C26" s="16">
        <f t="shared" si="2"/>
        <v>1048.2506292150194</v>
      </c>
      <c r="D26" s="16">
        <f t="shared" si="0"/>
        <v>-1048.2506292150194</v>
      </c>
      <c r="G26" s="2" t="s">
        <v>107</v>
      </c>
      <c r="H26" s="2"/>
      <c r="I26" s="2"/>
      <c r="J26" s="2"/>
      <c r="K26" s="2"/>
      <c r="L26" s="2"/>
      <c r="M26" s="2"/>
      <c r="N26" s="2"/>
    </row>
    <row r="27" spans="1:14" x14ac:dyDescent="0.15">
      <c r="A27" s="14">
        <v>16</v>
      </c>
      <c r="B27" s="16">
        <f t="shared" si="1"/>
        <v>0</v>
      </c>
      <c r="C27" s="16">
        <f t="shared" si="2"/>
        <v>891.01303483276683</v>
      </c>
      <c r="D27" s="16">
        <f t="shared" si="0"/>
        <v>-891.01303483276683</v>
      </c>
      <c r="G27" s="2"/>
      <c r="H27" s="2"/>
      <c r="I27" s="2"/>
      <c r="J27" s="2"/>
      <c r="K27" s="2"/>
      <c r="L27" s="2"/>
      <c r="M27" s="2"/>
      <c r="N27" s="2"/>
    </row>
    <row r="28" spans="1:14" ht="15" customHeight="1" x14ac:dyDescent="0.15">
      <c r="A28" s="14">
        <v>17</v>
      </c>
      <c r="B28" s="16">
        <f t="shared" si="1"/>
        <v>0</v>
      </c>
      <c r="C28" s="16">
        <f t="shared" si="2"/>
        <v>757.36107960785171</v>
      </c>
      <c r="D28" s="16">
        <f t="shared" si="0"/>
        <v>-757.36107960785171</v>
      </c>
      <c r="G28" s="1" t="s">
        <v>108</v>
      </c>
      <c r="H28" s="1"/>
      <c r="I28" s="1"/>
      <c r="J28" s="1"/>
      <c r="K28" s="1"/>
      <c r="L28" s="1"/>
      <c r="M28" s="1"/>
      <c r="N28" s="1"/>
    </row>
    <row r="29" spans="1:14" x14ac:dyDescent="0.15">
      <c r="A29" s="14">
        <v>18</v>
      </c>
      <c r="B29" s="16">
        <f t="shared" si="1"/>
        <v>0</v>
      </c>
      <c r="C29" s="16">
        <f t="shared" si="2"/>
        <v>643.75691766667398</v>
      </c>
      <c r="D29" s="16">
        <f t="shared" si="0"/>
        <v>-643.75691766667398</v>
      </c>
      <c r="G29" s="1"/>
      <c r="H29" s="1"/>
      <c r="I29" s="1"/>
      <c r="J29" s="1"/>
      <c r="K29" s="1"/>
      <c r="L29" s="1"/>
      <c r="M29" s="1"/>
      <c r="N29" s="1"/>
    </row>
    <row r="30" spans="1:14" x14ac:dyDescent="0.15">
      <c r="A30" s="14">
        <v>19</v>
      </c>
      <c r="B30" s="16">
        <f t="shared" si="1"/>
        <v>0</v>
      </c>
      <c r="C30" s="16">
        <f t="shared" si="2"/>
        <v>547.19338001667279</v>
      </c>
      <c r="D30" s="16">
        <f t="shared" si="0"/>
        <v>-547.19338001667279</v>
      </c>
      <c r="G30" s="1"/>
      <c r="H30" s="1"/>
      <c r="I30" s="1"/>
      <c r="J30" s="1"/>
      <c r="K30" s="1"/>
      <c r="L30" s="1"/>
      <c r="M30" s="1"/>
      <c r="N30" s="1"/>
    </row>
    <row r="31" spans="1:14" x14ac:dyDescent="0.15">
      <c r="A31" s="14">
        <v>20</v>
      </c>
      <c r="B31" s="16">
        <f t="shared" si="1"/>
        <v>0</v>
      </c>
      <c r="C31" s="16">
        <f t="shared" si="2"/>
        <v>465.11437301417192</v>
      </c>
      <c r="D31" s="16">
        <f t="shared" si="0"/>
        <v>-465.11437301417192</v>
      </c>
    </row>
    <row r="32" spans="1:14" ht="15" customHeight="1" x14ac:dyDescent="0.15">
      <c r="G32" s="2" t="s">
        <v>109</v>
      </c>
      <c r="H32" s="2"/>
      <c r="I32" s="2"/>
      <c r="J32" s="2"/>
      <c r="K32" s="2"/>
      <c r="L32" s="2"/>
      <c r="M32" s="2"/>
      <c r="N32" s="2"/>
    </row>
    <row r="33" spans="7:14" x14ac:dyDescent="0.15">
      <c r="G33" s="2"/>
      <c r="H33" s="2"/>
      <c r="I33" s="2"/>
      <c r="J33" s="2"/>
      <c r="K33" s="2"/>
      <c r="L33" s="2"/>
      <c r="M33" s="2"/>
      <c r="N33" s="2"/>
    </row>
    <row r="34" spans="7:14" ht="15" customHeight="1" x14ac:dyDescent="0.15">
      <c r="G34" s="1" t="s">
        <v>110</v>
      </c>
      <c r="H34" s="1"/>
      <c r="I34" s="1"/>
      <c r="J34" s="1"/>
      <c r="K34" s="1"/>
      <c r="L34" s="1"/>
      <c r="M34" s="1"/>
      <c r="N34" s="1"/>
    </row>
    <row r="35" spans="7:14" x14ac:dyDescent="0.15">
      <c r="G35" s="1"/>
      <c r="H35" s="1"/>
      <c r="I35" s="1"/>
      <c r="J35" s="1"/>
      <c r="K35" s="1"/>
      <c r="L35" s="1"/>
      <c r="M35" s="1"/>
      <c r="N35" s="1"/>
    </row>
    <row r="36" spans="7:14" x14ac:dyDescent="0.15">
      <c r="G36" s="1"/>
      <c r="H36" s="1"/>
      <c r="I36" s="1"/>
      <c r="J36" s="1"/>
      <c r="K36" s="1"/>
      <c r="L36" s="1"/>
      <c r="M36" s="1"/>
      <c r="N36" s="1"/>
    </row>
    <row r="38" spans="7:14" ht="15" customHeight="1" x14ac:dyDescent="0.15">
      <c r="G38" s="2" t="s">
        <v>111</v>
      </c>
      <c r="H38" s="2"/>
      <c r="I38" s="2"/>
      <c r="J38" s="2"/>
      <c r="K38" s="2"/>
      <c r="L38" s="2"/>
      <c r="M38" s="2"/>
      <c r="N38" s="2"/>
    </row>
    <row r="39" spans="7:14" x14ac:dyDescent="0.15">
      <c r="G39" s="2"/>
      <c r="H39" s="2"/>
      <c r="I39" s="2"/>
      <c r="J39" s="2"/>
      <c r="K39" s="2"/>
      <c r="L39" s="2"/>
      <c r="M39" s="2"/>
      <c r="N39" s="2"/>
    </row>
    <row r="40" spans="7:14" ht="15" customHeight="1" x14ac:dyDescent="0.15">
      <c r="G40" s="1" t="s">
        <v>112</v>
      </c>
      <c r="H40" s="1"/>
      <c r="I40" s="1"/>
      <c r="J40" s="1"/>
      <c r="K40" s="1"/>
      <c r="L40" s="1"/>
      <c r="M40" s="1"/>
      <c r="N40" s="1"/>
    </row>
    <row r="41" spans="7:14" x14ac:dyDescent="0.15">
      <c r="G41" s="1"/>
      <c r="H41" s="1"/>
      <c r="I41" s="1"/>
      <c r="J41" s="1"/>
      <c r="K41" s="1"/>
      <c r="L41" s="1"/>
      <c r="M41" s="1"/>
      <c r="N41" s="1"/>
    </row>
    <row r="42" spans="7:14" x14ac:dyDescent="0.15">
      <c r="G42" s="1"/>
      <c r="H42" s="1"/>
      <c r="I42" s="1"/>
      <c r="J42" s="1"/>
      <c r="K42" s="1"/>
      <c r="L42" s="1"/>
      <c r="M42" s="1"/>
      <c r="N42" s="1"/>
    </row>
    <row r="44" spans="7:14" ht="15" customHeight="1" x14ac:dyDescent="0.15">
      <c r="G44" s="2" t="s">
        <v>113</v>
      </c>
      <c r="H44" s="2"/>
      <c r="I44" s="2"/>
      <c r="J44" s="2"/>
      <c r="K44" s="2"/>
      <c r="L44" s="2"/>
      <c r="M44" s="2"/>
      <c r="N44" s="2"/>
    </row>
    <row r="45" spans="7:14" x14ac:dyDescent="0.15">
      <c r="G45" s="2"/>
      <c r="H45" s="2"/>
      <c r="I45" s="2"/>
      <c r="J45" s="2"/>
      <c r="K45" s="2"/>
      <c r="L45" s="2"/>
      <c r="M45" s="2"/>
      <c r="N45" s="2"/>
    </row>
    <row r="46" spans="7:14" ht="15" customHeight="1" x14ac:dyDescent="0.15">
      <c r="G46" s="1" t="s">
        <v>114</v>
      </c>
      <c r="H46" s="1"/>
      <c r="I46" s="1"/>
      <c r="J46" s="1"/>
      <c r="K46" s="1"/>
      <c r="L46" s="1"/>
      <c r="M46" s="1"/>
      <c r="N46" s="1"/>
    </row>
    <row r="47" spans="7:14" x14ac:dyDescent="0.15">
      <c r="G47" s="1"/>
      <c r="H47" s="1"/>
      <c r="I47" s="1"/>
      <c r="J47" s="1"/>
      <c r="K47" s="1"/>
      <c r="L47" s="1"/>
      <c r="M47" s="1"/>
      <c r="N47" s="1"/>
    </row>
    <row r="48" spans="7:14" x14ac:dyDescent="0.15">
      <c r="G48" s="1"/>
      <c r="H48" s="1"/>
      <c r="I48" s="1"/>
      <c r="J48" s="1"/>
      <c r="K48" s="1"/>
      <c r="L48" s="1"/>
      <c r="M48" s="1"/>
      <c r="N48" s="1"/>
    </row>
  </sheetData>
  <mergeCells count="18">
    <mergeCell ref="G40:N42"/>
    <mergeCell ref="G44:N45"/>
    <mergeCell ref="G46:N48"/>
    <mergeCell ref="G26:N27"/>
    <mergeCell ref="G28:N30"/>
    <mergeCell ref="G32:N33"/>
    <mergeCell ref="G34:N36"/>
    <mergeCell ref="G38:N39"/>
    <mergeCell ref="G10:N11"/>
    <mergeCell ref="G14:N15"/>
    <mergeCell ref="G16:N18"/>
    <mergeCell ref="G20:N21"/>
    <mergeCell ref="G22:N24"/>
    <mergeCell ref="A1:N1"/>
    <mergeCell ref="A2:N2"/>
    <mergeCell ref="G5:N6"/>
    <mergeCell ref="G7:N8"/>
    <mergeCell ref="G9:N9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95"/>
  <sheetViews>
    <sheetView showGridLines="0" zoomScaleNormal="100" workbookViewId="0">
      <selection sqref="A1:N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116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35</v>
      </c>
      <c r="G4" s="8" t="s">
        <v>36</v>
      </c>
    </row>
    <row r="5" spans="1:14" ht="15" customHeight="1" x14ac:dyDescent="0.15">
      <c r="A5" t="s">
        <v>117</v>
      </c>
      <c r="B5" s="10">
        <v>180000</v>
      </c>
      <c r="G5" s="3" t="s">
        <v>118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65</v>
      </c>
      <c r="B6" s="13">
        <v>5.3999999999999999E-2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119</v>
      </c>
      <c r="B7" s="10">
        <v>2000</v>
      </c>
      <c r="G7" s="3" t="s">
        <v>120</v>
      </c>
      <c r="H7" s="3"/>
      <c r="I7" s="3"/>
      <c r="J7" s="3"/>
      <c r="K7" s="3"/>
      <c r="L7" s="3"/>
      <c r="M7" s="3"/>
      <c r="N7" s="3"/>
    </row>
    <row r="8" spans="1:14" x14ac:dyDescent="0.15">
      <c r="A8" t="s">
        <v>121</v>
      </c>
      <c r="B8" s="19">
        <f>B6/12</f>
        <v>4.4999999999999997E-3</v>
      </c>
      <c r="G8" s="3"/>
      <c r="H8" s="3"/>
      <c r="I8" s="3"/>
      <c r="J8" s="3"/>
      <c r="K8" s="3"/>
      <c r="L8" s="3"/>
      <c r="M8" s="3"/>
      <c r="N8" s="3"/>
    </row>
    <row r="9" spans="1:14" x14ac:dyDescent="0.15">
      <c r="G9" s="3"/>
      <c r="H9" s="3"/>
      <c r="I9" s="3"/>
      <c r="J9" s="3"/>
      <c r="K9" s="3"/>
      <c r="L9" s="3"/>
      <c r="M9" s="3"/>
      <c r="N9" s="3"/>
    </row>
    <row r="10" spans="1:14" ht="15" customHeight="1" x14ac:dyDescent="0.15">
      <c r="A10" s="8" t="s">
        <v>122</v>
      </c>
      <c r="G10" s="3" t="s">
        <v>123</v>
      </c>
      <c r="H10" s="3"/>
      <c r="I10" s="3"/>
      <c r="J10" s="3"/>
      <c r="K10" s="3"/>
      <c r="L10" s="3"/>
      <c r="M10" s="3"/>
      <c r="N10" s="3"/>
    </row>
    <row r="11" spans="1:14" x14ac:dyDescent="0.15">
      <c r="A11" t="s">
        <v>124</v>
      </c>
      <c r="B11" s="20">
        <f>COUNTIF(D16:D195,"&gt;0")</f>
        <v>116</v>
      </c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15">
      <c r="A12" t="s">
        <v>125</v>
      </c>
      <c r="B12" s="16">
        <f>SUM(D16:D195)</f>
        <v>231272.67743033019</v>
      </c>
      <c r="G12" s="3" t="s">
        <v>126</v>
      </c>
      <c r="H12" s="3"/>
      <c r="I12" s="3"/>
      <c r="J12" s="3"/>
      <c r="K12" s="3"/>
      <c r="L12" s="3"/>
      <c r="M12" s="3"/>
      <c r="N12" s="3"/>
    </row>
    <row r="13" spans="1:14" x14ac:dyDescent="0.15">
      <c r="A13" t="s">
        <v>127</v>
      </c>
      <c r="B13" s="16">
        <f>SUM(C16:C195)</f>
        <v>51272.677430330106</v>
      </c>
      <c r="G13" s="3"/>
      <c r="H13" s="3"/>
      <c r="I13" s="3"/>
      <c r="J13" s="3"/>
      <c r="K13" s="3"/>
      <c r="L13" s="3"/>
      <c r="M13" s="3"/>
      <c r="N13" s="3"/>
    </row>
    <row r="14" spans="1:14" ht="15" customHeight="1" x14ac:dyDescent="0.15">
      <c r="G14" s="2" t="s">
        <v>128</v>
      </c>
      <c r="H14" s="2"/>
      <c r="I14" s="2"/>
      <c r="J14" s="2"/>
      <c r="K14" s="2"/>
      <c r="L14" s="2"/>
      <c r="M14" s="2"/>
      <c r="N14" s="2"/>
    </row>
    <row r="15" spans="1:14" ht="31.5" customHeight="1" x14ac:dyDescent="0.15">
      <c r="A15" s="11" t="s">
        <v>129</v>
      </c>
      <c r="B15" s="11" t="s">
        <v>130</v>
      </c>
      <c r="C15" s="11" t="s">
        <v>131</v>
      </c>
      <c r="D15" s="11" t="s">
        <v>132</v>
      </c>
      <c r="E15" s="11" t="s">
        <v>133</v>
      </c>
    </row>
    <row r="16" spans="1:14" ht="14" x14ac:dyDescent="0.15">
      <c r="A16" s="14">
        <v>1</v>
      </c>
      <c r="B16" s="21">
        <f>$B$5</f>
        <v>180000</v>
      </c>
      <c r="C16" s="21">
        <f t="shared" ref="C16:C47" si="0">B16*$B$8</f>
        <v>809.99999999999989</v>
      </c>
      <c r="D16" s="21">
        <f t="shared" ref="D16:D47" si="1">MIN($B$7,B16+C16)</f>
        <v>2000</v>
      </c>
      <c r="E16" s="21">
        <f t="shared" ref="E16:E47" si="2">B16+C16-D16</f>
        <v>178810</v>
      </c>
      <c r="G16" s="8" t="s">
        <v>49</v>
      </c>
    </row>
    <row r="17" spans="1:14" ht="15" customHeight="1" x14ac:dyDescent="0.15">
      <c r="A17" s="14">
        <v>2</v>
      </c>
      <c r="B17" s="22">
        <f t="shared" ref="B17:B48" si="3">E16</f>
        <v>178810</v>
      </c>
      <c r="C17" s="22">
        <f t="shared" si="0"/>
        <v>804.64499999999998</v>
      </c>
      <c r="D17" s="22">
        <f t="shared" si="1"/>
        <v>2000</v>
      </c>
      <c r="E17" s="22">
        <f t="shared" si="2"/>
        <v>177614.64499999999</v>
      </c>
      <c r="G17" s="2" t="s">
        <v>134</v>
      </c>
      <c r="H17" s="2"/>
      <c r="I17" s="2"/>
      <c r="J17" s="2"/>
      <c r="K17" s="2"/>
      <c r="L17" s="2"/>
      <c r="M17" s="2"/>
      <c r="N17" s="2"/>
    </row>
    <row r="18" spans="1:14" ht="15" customHeight="1" x14ac:dyDescent="0.15">
      <c r="A18" s="14">
        <v>3</v>
      </c>
      <c r="B18" s="22">
        <f t="shared" si="3"/>
        <v>177614.64499999999</v>
      </c>
      <c r="C18" s="22">
        <f t="shared" si="0"/>
        <v>799.26590249999992</v>
      </c>
      <c r="D18" s="22">
        <f t="shared" si="1"/>
        <v>2000</v>
      </c>
      <c r="E18" s="22">
        <f t="shared" si="2"/>
        <v>176413.91090249998</v>
      </c>
      <c r="G18" s="1" t="s">
        <v>135</v>
      </c>
      <c r="H18" s="1"/>
      <c r="I18" s="1"/>
      <c r="J18" s="1"/>
      <c r="K18" s="1"/>
      <c r="L18" s="1"/>
      <c r="M18" s="1"/>
      <c r="N18" s="1"/>
    </row>
    <row r="19" spans="1:14" x14ac:dyDescent="0.15">
      <c r="A19" s="14">
        <v>4</v>
      </c>
      <c r="B19" s="22">
        <f t="shared" si="3"/>
        <v>176413.91090249998</v>
      </c>
      <c r="C19" s="22">
        <f t="shared" si="0"/>
        <v>793.86259906124985</v>
      </c>
      <c r="D19" s="22">
        <f t="shared" si="1"/>
        <v>2000</v>
      </c>
      <c r="E19" s="22">
        <f t="shared" si="2"/>
        <v>175207.77350156123</v>
      </c>
      <c r="G19" s="1"/>
      <c r="H19" s="1"/>
      <c r="I19" s="1"/>
      <c r="J19" s="1"/>
      <c r="K19" s="1"/>
      <c r="L19" s="1"/>
      <c r="M19" s="1"/>
      <c r="N19" s="1"/>
    </row>
    <row r="20" spans="1:14" x14ac:dyDescent="0.15">
      <c r="A20" s="14">
        <v>5</v>
      </c>
      <c r="B20" s="22">
        <f t="shared" si="3"/>
        <v>175207.77350156123</v>
      </c>
      <c r="C20" s="22">
        <f t="shared" si="0"/>
        <v>788.43498075702541</v>
      </c>
      <c r="D20" s="22">
        <f t="shared" si="1"/>
        <v>2000</v>
      </c>
      <c r="E20" s="22">
        <f t="shared" si="2"/>
        <v>173996.20848231827</v>
      </c>
      <c r="G20" s="1"/>
      <c r="H20" s="1"/>
      <c r="I20" s="1"/>
      <c r="J20" s="1"/>
      <c r="K20" s="1"/>
      <c r="L20" s="1"/>
      <c r="M20" s="1"/>
      <c r="N20" s="1"/>
    </row>
    <row r="21" spans="1:14" x14ac:dyDescent="0.15">
      <c r="A21" s="14">
        <v>6</v>
      </c>
      <c r="B21" s="22">
        <f t="shared" si="3"/>
        <v>173996.20848231827</v>
      </c>
      <c r="C21" s="22">
        <f t="shared" si="0"/>
        <v>782.98293817043213</v>
      </c>
      <c r="D21" s="22">
        <f t="shared" si="1"/>
        <v>2000</v>
      </c>
      <c r="E21" s="22">
        <f t="shared" si="2"/>
        <v>172779.1914204887</v>
      </c>
    </row>
    <row r="22" spans="1:14" ht="15" customHeight="1" x14ac:dyDescent="0.15">
      <c r="A22" s="14">
        <v>7</v>
      </c>
      <c r="B22" s="22">
        <f t="shared" si="3"/>
        <v>172779.1914204887</v>
      </c>
      <c r="C22" s="22">
        <f t="shared" si="0"/>
        <v>777.5063613921991</v>
      </c>
      <c r="D22" s="22">
        <f t="shared" si="1"/>
        <v>2000</v>
      </c>
      <c r="E22" s="22">
        <f t="shared" si="2"/>
        <v>171556.69778188091</v>
      </c>
      <c r="G22" s="2" t="s">
        <v>136</v>
      </c>
      <c r="H22" s="2"/>
      <c r="I22" s="2"/>
      <c r="J22" s="2"/>
      <c r="K22" s="2"/>
      <c r="L22" s="2"/>
      <c r="M22" s="2"/>
      <c r="N22" s="2"/>
    </row>
    <row r="23" spans="1:14" x14ac:dyDescent="0.15">
      <c r="A23" s="14">
        <v>8</v>
      </c>
      <c r="B23" s="22">
        <f t="shared" si="3"/>
        <v>171556.69778188091</v>
      </c>
      <c r="C23" s="22">
        <f t="shared" si="0"/>
        <v>772.00514001846409</v>
      </c>
      <c r="D23" s="22">
        <f t="shared" si="1"/>
        <v>2000</v>
      </c>
      <c r="E23" s="22">
        <f t="shared" si="2"/>
        <v>170328.70292189938</v>
      </c>
      <c r="G23" s="2"/>
      <c r="H23" s="2"/>
      <c r="I23" s="2"/>
      <c r="J23" s="2"/>
      <c r="K23" s="2"/>
      <c r="L23" s="2"/>
      <c r="M23" s="2"/>
      <c r="N23" s="2"/>
    </row>
    <row r="24" spans="1:14" ht="15" customHeight="1" x14ac:dyDescent="0.15">
      <c r="A24" s="14">
        <v>9</v>
      </c>
      <c r="B24" s="22">
        <f t="shared" si="3"/>
        <v>170328.70292189938</v>
      </c>
      <c r="C24" s="22">
        <f t="shared" si="0"/>
        <v>766.47916314854717</v>
      </c>
      <c r="D24" s="22">
        <f t="shared" si="1"/>
        <v>2000</v>
      </c>
      <c r="E24" s="22">
        <f t="shared" si="2"/>
        <v>169095.18208504794</v>
      </c>
      <c r="G24" s="1" t="s">
        <v>137</v>
      </c>
      <c r="H24" s="1"/>
      <c r="I24" s="1"/>
      <c r="J24" s="1"/>
      <c r="K24" s="1"/>
      <c r="L24" s="1"/>
      <c r="M24" s="1"/>
      <c r="N24" s="1"/>
    </row>
    <row r="25" spans="1:14" x14ac:dyDescent="0.15">
      <c r="A25" s="14">
        <v>10</v>
      </c>
      <c r="B25" s="22">
        <f t="shared" si="3"/>
        <v>169095.18208504794</v>
      </c>
      <c r="C25" s="22">
        <f t="shared" si="0"/>
        <v>760.9283193827157</v>
      </c>
      <c r="D25" s="22">
        <f t="shared" si="1"/>
        <v>2000</v>
      </c>
      <c r="E25" s="22">
        <f t="shared" si="2"/>
        <v>167856.11040443066</v>
      </c>
      <c r="G25" s="1"/>
      <c r="H25" s="1"/>
      <c r="I25" s="1"/>
      <c r="J25" s="1"/>
      <c r="K25" s="1"/>
      <c r="L25" s="1"/>
      <c r="M25" s="1"/>
      <c r="N25" s="1"/>
    </row>
    <row r="26" spans="1:14" x14ac:dyDescent="0.15">
      <c r="A26" s="14">
        <v>11</v>
      </c>
      <c r="B26" s="22">
        <f t="shared" si="3"/>
        <v>167856.11040443066</v>
      </c>
      <c r="C26" s="22">
        <f t="shared" si="0"/>
        <v>755.35249681993787</v>
      </c>
      <c r="D26" s="22">
        <f t="shared" si="1"/>
        <v>2000</v>
      </c>
      <c r="E26" s="22">
        <f t="shared" si="2"/>
        <v>166611.4629012506</v>
      </c>
      <c r="G26" s="1"/>
      <c r="H26" s="1"/>
      <c r="I26" s="1"/>
      <c r="J26" s="1"/>
      <c r="K26" s="1"/>
      <c r="L26" s="1"/>
      <c r="M26" s="1"/>
      <c r="N26" s="1"/>
    </row>
    <row r="27" spans="1:14" x14ac:dyDescent="0.15">
      <c r="A27" s="14">
        <v>12</v>
      </c>
      <c r="B27" s="22">
        <f t="shared" si="3"/>
        <v>166611.4629012506</v>
      </c>
      <c r="C27" s="22">
        <f t="shared" si="0"/>
        <v>749.75158305562763</v>
      </c>
      <c r="D27" s="22">
        <f t="shared" si="1"/>
        <v>2000</v>
      </c>
      <c r="E27" s="22">
        <f t="shared" si="2"/>
        <v>165361.21448430623</v>
      </c>
    </row>
    <row r="28" spans="1:14" ht="15" customHeight="1" x14ac:dyDescent="0.15">
      <c r="A28" s="14">
        <v>13</v>
      </c>
      <c r="B28" s="22">
        <f t="shared" si="3"/>
        <v>165361.21448430623</v>
      </c>
      <c r="C28" s="22">
        <f t="shared" si="0"/>
        <v>744.12546517937801</v>
      </c>
      <c r="D28" s="22">
        <f t="shared" si="1"/>
        <v>2000</v>
      </c>
      <c r="E28" s="22">
        <f t="shared" si="2"/>
        <v>164105.33994948561</v>
      </c>
      <c r="G28" s="2" t="s">
        <v>138</v>
      </c>
      <c r="H28" s="2"/>
      <c r="I28" s="2"/>
      <c r="J28" s="2"/>
      <c r="K28" s="2"/>
      <c r="L28" s="2"/>
      <c r="M28" s="2"/>
      <c r="N28" s="2"/>
    </row>
    <row r="29" spans="1:14" x14ac:dyDescent="0.15">
      <c r="A29" s="14">
        <v>14</v>
      </c>
      <c r="B29" s="22">
        <f t="shared" si="3"/>
        <v>164105.33994948561</v>
      </c>
      <c r="C29" s="22">
        <f t="shared" si="0"/>
        <v>738.47402977268518</v>
      </c>
      <c r="D29" s="22">
        <f t="shared" si="1"/>
        <v>2000</v>
      </c>
      <c r="E29" s="22">
        <f t="shared" si="2"/>
        <v>162843.8139792583</v>
      </c>
      <c r="G29" s="2"/>
      <c r="H29" s="2"/>
      <c r="I29" s="2"/>
      <c r="J29" s="2"/>
      <c r="K29" s="2"/>
      <c r="L29" s="2"/>
      <c r="M29" s="2"/>
      <c r="N29" s="2"/>
    </row>
    <row r="30" spans="1:14" ht="15" customHeight="1" x14ac:dyDescent="0.15">
      <c r="A30" s="14">
        <v>15</v>
      </c>
      <c r="B30" s="22">
        <f t="shared" si="3"/>
        <v>162843.8139792583</v>
      </c>
      <c r="C30" s="22">
        <f t="shared" si="0"/>
        <v>732.79716290666227</v>
      </c>
      <c r="D30" s="22">
        <f t="shared" si="1"/>
        <v>2000</v>
      </c>
      <c r="E30" s="22">
        <f t="shared" si="2"/>
        <v>161576.61114216497</v>
      </c>
      <c r="G30" s="1" t="s">
        <v>139</v>
      </c>
      <c r="H30" s="1"/>
      <c r="I30" s="1"/>
      <c r="J30" s="1"/>
      <c r="K30" s="1"/>
      <c r="L30" s="1"/>
      <c r="M30" s="1"/>
      <c r="N30" s="1"/>
    </row>
    <row r="31" spans="1:14" x14ac:dyDescent="0.15">
      <c r="A31" s="14">
        <v>16</v>
      </c>
      <c r="B31" s="22">
        <f t="shared" si="3"/>
        <v>161576.61114216497</v>
      </c>
      <c r="C31" s="22">
        <f t="shared" si="0"/>
        <v>727.09475013974236</v>
      </c>
      <c r="D31" s="22">
        <f t="shared" si="1"/>
        <v>2000</v>
      </c>
      <c r="E31" s="22">
        <f t="shared" si="2"/>
        <v>160303.70589230472</v>
      </c>
      <c r="G31" s="1"/>
      <c r="H31" s="1"/>
      <c r="I31" s="1"/>
      <c r="J31" s="1"/>
      <c r="K31" s="1"/>
      <c r="L31" s="1"/>
      <c r="M31" s="1"/>
      <c r="N31" s="1"/>
    </row>
    <row r="32" spans="1:14" x14ac:dyDescent="0.15">
      <c r="A32" s="14">
        <v>17</v>
      </c>
      <c r="B32" s="22">
        <f t="shared" si="3"/>
        <v>160303.70589230472</v>
      </c>
      <c r="C32" s="22">
        <f t="shared" si="0"/>
        <v>721.36667651537118</v>
      </c>
      <c r="D32" s="22">
        <f t="shared" si="1"/>
        <v>2000</v>
      </c>
      <c r="E32" s="22">
        <f t="shared" si="2"/>
        <v>159025.07256882009</v>
      </c>
      <c r="G32" s="1"/>
      <c r="H32" s="1"/>
      <c r="I32" s="1"/>
      <c r="J32" s="1"/>
      <c r="K32" s="1"/>
      <c r="L32" s="1"/>
      <c r="M32" s="1"/>
      <c r="N32" s="1"/>
    </row>
    <row r="33" spans="1:14" x14ac:dyDescent="0.15">
      <c r="A33" s="14">
        <v>18</v>
      </c>
      <c r="B33" s="22">
        <f t="shared" si="3"/>
        <v>159025.07256882009</v>
      </c>
      <c r="C33" s="22">
        <f t="shared" si="0"/>
        <v>715.61282655969035</v>
      </c>
      <c r="D33" s="22">
        <f t="shared" si="1"/>
        <v>2000</v>
      </c>
      <c r="E33" s="22">
        <f t="shared" si="2"/>
        <v>157740.68539537978</v>
      </c>
    </row>
    <row r="34" spans="1:14" ht="15" customHeight="1" x14ac:dyDescent="0.15">
      <c r="A34" s="14">
        <v>19</v>
      </c>
      <c r="B34" s="22">
        <f t="shared" si="3"/>
        <v>157740.68539537978</v>
      </c>
      <c r="C34" s="22">
        <f t="shared" si="0"/>
        <v>709.83308427920895</v>
      </c>
      <c r="D34" s="22">
        <f t="shared" si="1"/>
        <v>2000</v>
      </c>
      <c r="E34" s="22">
        <f t="shared" si="2"/>
        <v>156450.51847965899</v>
      </c>
      <c r="G34" s="2" t="s">
        <v>140</v>
      </c>
      <c r="H34" s="2"/>
      <c r="I34" s="2"/>
      <c r="J34" s="2"/>
      <c r="K34" s="2"/>
      <c r="L34" s="2"/>
      <c r="M34" s="2"/>
      <c r="N34" s="2"/>
    </row>
    <row r="35" spans="1:14" x14ac:dyDescent="0.15">
      <c r="A35" s="14">
        <v>20</v>
      </c>
      <c r="B35" s="22">
        <f t="shared" si="3"/>
        <v>156450.51847965899</v>
      </c>
      <c r="C35" s="22">
        <f t="shared" si="0"/>
        <v>704.02733315846535</v>
      </c>
      <c r="D35" s="22">
        <f t="shared" si="1"/>
        <v>2000</v>
      </c>
      <c r="E35" s="22">
        <f t="shared" si="2"/>
        <v>155154.54581281747</v>
      </c>
      <c r="G35" s="2"/>
      <c r="H35" s="2"/>
      <c r="I35" s="2"/>
      <c r="J35" s="2"/>
      <c r="K35" s="2"/>
      <c r="L35" s="2"/>
      <c r="M35" s="2"/>
      <c r="N35" s="2"/>
    </row>
    <row r="36" spans="1:14" ht="15" customHeight="1" x14ac:dyDescent="0.15">
      <c r="A36" s="14">
        <v>21</v>
      </c>
      <c r="B36" s="22">
        <f t="shared" si="3"/>
        <v>155154.54581281747</v>
      </c>
      <c r="C36" s="22">
        <f t="shared" si="0"/>
        <v>698.19545615767856</v>
      </c>
      <c r="D36" s="22">
        <f t="shared" si="1"/>
        <v>2000</v>
      </c>
      <c r="E36" s="22">
        <f t="shared" si="2"/>
        <v>153852.74126897514</v>
      </c>
      <c r="G36" s="1" t="s">
        <v>141</v>
      </c>
      <c r="H36" s="1"/>
      <c r="I36" s="1"/>
      <c r="J36" s="1"/>
      <c r="K36" s="1"/>
      <c r="L36" s="1"/>
      <c r="M36" s="1"/>
      <c r="N36" s="1"/>
    </row>
    <row r="37" spans="1:14" x14ac:dyDescent="0.15">
      <c r="A37" s="14">
        <v>22</v>
      </c>
      <c r="B37" s="22">
        <f t="shared" si="3"/>
        <v>153852.74126897514</v>
      </c>
      <c r="C37" s="22">
        <f t="shared" si="0"/>
        <v>692.33733571038806</v>
      </c>
      <c r="D37" s="22">
        <f t="shared" si="1"/>
        <v>2000</v>
      </c>
      <c r="E37" s="22">
        <f t="shared" si="2"/>
        <v>152545.07860468552</v>
      </c>
      <c r="G37" s="1"/>
      <c r="H37" s="1"/>
      <c r="I37" s="1"/>
      <c r="J37" s="1"/>
      <c r="K37" s="1"/>
      <c r="L37" s="1"/>
      <c r="M37" s="1"/>
      <c r="N37" s="1"/>
    </row>
    <row r="38" spans="1:14" x14ac:dyDescent="0.15">
      <c r="A38" s="14">
        <v>23</v>
      </c>
      <c r="B38" s="22">
        <f t="shared" si="3"/>
        <v>152545.07860468552</v>
      </c>
      <c r="C38" s="22">
        <f t="shared" si="0"/>
        <v>686.45285372108481</v>
      </c>
      <c r="D38" s="22">
        <f t="shared" si="1"/>
        <v>2000</v>
      </c>
      <c r="E38" s="22">
        <f t="shared" si="2"/>
        <v>151231.53145840659</v>
      </c>
      <c r="G38" s="1"/>
      <c r="H38" s="1"/>
      <c r="I38" s="1"/>
      <c r="J38" s="1"/>
      <c r="K38" s="1"/>
      <c r="L38" s="1"/>
      <c r="M38" s="1"/>
      <c r="N38" s="1"/>
    </row>
    <row r="39" spans="1:14" x14ac:dyDescent="0.15">
      <c r="A39" s="14">
        <v>24</v>
      </c>
      <c r="B39" s="22">
        <f t="shared" si="3"/>
        <v>151231.53145840659</v>
      </c>
      <c r="C39" s="22">
        <f t="shared" si="0"/>
        <v>680.54189156282962</v>
      </c>
      <c r="D39" s="22">
        <f t="shared" si="1"/>
        <v>2000</v>
      </c>
      <c r="E39" s="22">
        <f t="shared" si="2"/>
        <v>149912.07334996943</v>
      </c>
    </row>
    <row r="40" spans="1:14" ht="15" customHeight="1" x14ac:dyDescent="0.15">
      <c r="A40" s="14">
        <v>25</v>
      </c>
      <c r="B40" s="22">
        <f t="shared" si="3"/>
        <v>149912.07334996943</v>
      </c>
      <c r="C40" s="22">
        <f t="shared" si="0"/>
        <v>674.60433007486245</v>
      </c>
      <c r="D40" s="22">
        <f t="shared" si="1"/>
        <v>2000</v>
      </c>
      <c r="E40" s="22">
        <f t="shared" si="2"/>
        <v>148586.67768004429</v>
      </c>
      <c r="G40" s="2" t="s">
        <v>142</v>
      </c>
      <c r="H40" s="2"/>
      <c r="I40" s="2"/>
      <c r="J40" s="2"/>
      <c r="K40" s="2"/>
      <c r="L40" s="2"/>
      <c r="M40" s="2"/>
      <c r="N40" s="2"/>
    </row>
    <row r="41" spans="1:14" x14ac:dyDescent="0.15">
      <c r="A41" s="14">
        <v>26</v>
      </c>
      <c r="B41" s="22">
        <f t="shared" si="3"/>
        <v>148586.67768004429</v>
      </c>
      <c r="C41" s="22">
        <f t="shared" si="0"/>
        <v>668.64004956019926</v>
      </c>
      <c r="D41" s="22">
        <f t="shared" si="1"/>
        <v>2000</v>
      </c>
      <c r="E41" s="22">
        <f t="shared" si="2"/>
        <v>147255.31772960449</v>
      </c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14">
        <v>27</v>
      </c>
      <c r="B42" s="22">
        <f t="shared" si="3"/>
        <v>147255.31772960449</v>
      </c>
      <c r="C42" s="22">
        <f t="shared" si="0"/>
        <v>662.64892978322018</v>
      </c>
      <c r="D42" s="22">
        <f t="shared" si="1"/>
        <v>2000</v>
      </c>
      <c r="E42" s="22">
        <f t="shared" si="2"/>
        <v>145917.96665938772</v>
      </c>
      <c r="G42" s="2"/>
      <c r="H42" s="2"/>
      <c r="I42" s="2"/>
      <c r="J42" s="2"/>
      <c r="K42" s="2"/>
      <c r="L42" s="2"/>
      <c r="M42" s="2"/>
      <c r="N42" s="2"/>
    </row>
    <row r="43" spans="1:14" ht="15" customHeight="1" x14ac:dyDescent="0.15">
      <c r="A43" s="14">
        <v>28</v>
      </c>
      <c r="B43" s="22">
        <f t="shared" si="3"/>
        <v>145917.96665938772</v>
      </c>
      <c r="C43" s="22">
        <f t="shared" si="0"/>
        <v>656.63084996724467</v>
      </c>
      <c r="D43" s="22">
        <f t="shared" si="1"/>
        <v>2000</v>
      </c>
      <c r="E43" s="22">
        <f t="shared" si="2"/>
        <v>144574.59750935496</v>
      </c>
      <c r="G43" s="1" t="s">
        <v>143</v>
      </c>
      <c r="H43" s="1"/>
      <c r="I43" s="1"/>
      <c r="J43" s="1"/>
      <c r="K43" s="1"/>
      <c r="L43" s="1"/>
      <c r="M43" s="1"/>
      <c r="N43" s="1"/>
    </row>
    <row r="44" spans="1:14" x14ac:dyDescent="0.15">
      <c r="A44" s="14">
        <v>29</v>
      </c>
      <c r="B44" s="22">
        <f t="shared" si="3"/>
        <v>144574.59750935496</v>
      </c>
      <c r="C44" s="22">
        <f t="shared" si="0"/>
        <v>650.58568879209724</v>
      </c>
      <c r="D44" s="22">
        <f t="shared" si="1"/>
        <v>2000</v>
      </c>
      <c r="E44" s="22">
        <f t="shared" si="2"/>
        <v>143225.18319814708</v>
      </c>
      <c r="G44" s="1"/>
      <c r="H44" s="1"/>
      <c r="I44" s="1"/>
      <c r="J44" s="1"/>
      <c r="K44" s="1"/>
      <c r="L44" s="1"/>
      <c r="M44" s="1"/>
      <c r="N44" s="1"/>
    </row>
    <row r="45" spans="1:14" x14ac:dyDescent="0.15">
      <c r="A45" s="14">
        <v>30</v>
      </c>
      <c r="B45" s="22">
        <f t="shared" si="3"/>
        <v>143225.18319814708</v>
      </c>
      <c r="C45" s="22">
        <f t="shared" si="0"/>
        <v>644.51332439166174</v>
      </c>
      <c r="D45" s="22">
        <f t="shared" si="1"/>
        <v>2000</v>
      </c>
      <c r="E45" s="22">
        <f t="shared" si="2"/>
        <v>141869.69652253872</v>
      </c>
      <c r="G45" s="1"/>
      <c r="H45" s="1"/>
      <c r="I45" s="1"/>
      <c r="J45" s="1"/>
      <c r="K45" s="1"/>
      <c r="L45" s="1"/>
      <c r="M45" s="1"/>
      <c r="N45" s="1"/>
    </row>
    <row r="46" spans="1:14" x14ac:dyDescent="0.15">
      <c r="A46" s="14">
        <v>31</v>
      </c>
      <c r="B46" s="22">
        <f t="shared" si="3"/>
        <v>141869.69652253872</v>
      </c>
      <c r="C46" s="22">
        <f t="shared" si="0"/>
        <v>638.41363435142421</v>
      </c>
      <c r="D46" s="22">
        <f t="shared" si="1"/>
        <v>2000</v>
      </c>
      <c r="E46" s="22">
        <f t="shared" si="2"/>
        <v>140508.11015689015</v>
      </c>
    </row>
    <row r="47" spans="1:14" ht="15" customHeight="1" x14ac:dyDescent="0.15">
      <c r="A47" s="14">
        <v>32</v>
      </c>
      <c r="B47" s="22">
        <f t="shared" si="3"/>
        <v>140508.11015689015</v>
      </c>
      <c r="C47" s="22">
        <f t="shared" si="0"/>
        <v>632.28649570600567</v>
      </c>
      <c r="D47" s="22">
        <f t="shared" si="1"/>
        <v>2000</v>
      </c>
      <c r="E47" s="22">
        <f t="shared" si="2"/>
        <v>139140.39665259616</v>
      </c>
      <c r="G47" s="2" t="s">
        <v>144</v>
      </c>
      <c r="H47" s="2"/>
      <c r="I47" s="2"/>
      <c r="J47" s="2"/>
      <c r="K47" s="2"/>
      <c r="L47" s="2"/>
      <c r="M47" s="2"/>
      <c r="N47" s="2"/>
    </row>
    <row r="48" spans="1:14" x14ac:dyDescent="0.15">
      <c r="A48" s="14">
        <v>33</v>
      </c>
      <c r="B48" s="22">
        <f t="shared" si="3"/>
        <v>139140.39665259616</v>
      </c>
      <c r="C48" s="22">
        <f t="shared" ref="C48:C79" si="4">B48*$B$8</f>
        <v>626.13178493668272</v>
      </c>
      <c r="D48" s="22">
        <f t="shared" ref="D48:D79" si="5">MIN($B$7,B48+C48)</f>
        <v>2000</v>
      </c>
      <c r="E48" s="22">
        <f t="shared" ref="E48:E79" si="6">B48+C48-D48</f>
        <v>137766.52843753283</v>
      </c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14">
        <v>34</v>
      </c>
      <c r="B49" s="22">
        <f t="shared" ref="B49:B80" si="7">E48</f>
        <v>137766.52843753283</v>
      </c>
      <c r="C49" s="22">
        <f t="shared" si="4"/>
        <v>619.94937796889769</v>
      </c>
      <c r="D49" s="22">
        <f t="shared" si="5"/>
        <v>2000</v>
      </c>
      <c r="E49" s="22">
        <f t="shared" si="6"/>
        <v>136386.47781550174</v>
      </c>
      <c r="G49" s="2"/>
      <c r="H49" s="2"/>
      <c r="I49" s="2"/>
      <c r="J49" s="2"/>
      <c r="K49" s="2"/>
      <c r="L49" s="2"/>
      <c r="M49" s="2"/>
      <c r="N49" s="2"/>
    </row>
    <row r="50" spans="1:14" ht="15" customHeight="1" x14ac:dyDescent="0.15">
      <c r="A50" s="14">
        <v>35</v>
      </c>
      <c r="B50" s="22">
        <f t="shared" si="7"/>
        <v>136386.47781550174</v>
      </c>
      <c r="C50" s="22">
        <f t="shared" si="4"/>
        <v>613.73915016975775</v>
      </c>
      <c r="D50" s="22">
        <f t="shared" si="5"/>
        <v>2000</v>
      </c>
      <c r="E50" s="22">
        <f t="shared" si="6"/>
        <v>135000.21696567151</v>
      </c>
      <c r="G50" s="1" t="s">
        <v>145</v>
      </c>
      <c r="H50" s="1"/>
      <c r="I50" s="1"/>
      <c r="J50" s="1"/>
      <c r="K50" s="1"/>
      <c r="L50" s="1"/>
      <c r="M50" s="1"/>
      <c r="N50" s="1"/>
    </row>
    <row r="51" spans="1:14" x14ac:dyDescent="0.15">
      <c r="A51" s="14">
        <v>36</v>
      </c>
      <c r="B51" s="22">
        <f t="shared" si="7"/>
        <v>135000.21696567151</v>
      </c>
      <c r="C51" s="22">
        <f t="shared" si="4"/>
        <v>607.50097634552174</v>
      </c>
      <c r="D51" s="22">
        <f t="shared" si="5"/>
        <v>2000</v>
      </c>
      <c r="E51" s="22">
        <f t="shared" si="6"/>
        <v>133607.71794201704</v>
      </c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4">
        <v>37</v>
      </c>
      <c r="B52" s="22">
        <f t="shared" si="7"/>
        <v>133607.71794201704</v>
      </c>
      <c r="C52" s="22">
        <f t="shared" si="4"/>
        <v>601.23473073907667</v>
      </c>
      <c r="D52" s="22">
        <f t="shared" si="5"/>
        <v>2000</v>
      </c>
      <c r="E52" s="22">
        <f t="shared" si="6"/>
        <v>132208.95267275613</v>
      </c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14">
        <v>38</v>
      </c>
      <c r="B53" s="22">
        <f t="shared" si="7"/>
        <v>132208.95267275613</v>
      </c>
      <c r="C53" s="22">
        <f t="shared" si="4"/>
        <v>594.94028702740252</v>
      </c>
      <c r="D53" s="22">
        <f t="shared" si="5"/>
        <v>2000</v>
      </c>
      <c r="E53" s="22">
        <f t="shared" si="6"/>
        <v>130803.89295978352</v>
      </c>
    </row>
    <row r="54" spans="1:14" ht="15" customHeight="1" x14ac:dyDescent="0.15">
      <c r="A54" s="14">
        <v>39</v>
      </c>
      <c r="B54" s="22">
        <f t="shared" si="7"/>
        <v>130803.89295978352</v>
      </c>
      <c r="C54" s="22">
        <f t="shared" si="4"/>
        <v>588.61751831902586</v>
      </c>
      <c r="D54" s="22">
        <f t="shared" si="5"/>
        <v>2000</v>
      </c>
      <c r="E54" s="22">
        <f t="shared" si="6"/>
        <v>129392.51047810254</v>
      </c>
      <c r="G54" s="2" t="s">
        <v>146</v>
      </c>
      <c r="H54" s="2"/>
      <c r="I54" s="2"/>
      <c r="J54" s="2"/>
      <c r="K54" s="2"/>
      <c r="L54" s="2"/>
      <c r="M54" s="2"/>
      <c r="N54" s="2"/>
    </row>
    <row r="55" spans="1:14" x14ac:dyDescent="0.15">
      <c r="A55" s="14">
        <v>40</v>
      </c>
      <c r="B55" s="22">
        <f t="shared" si="7"/>
        <v>129392.51047810254</v>
      </c>
      <c r="C55" s="22">
        <f t="shared" si="4"/>
        <v>582.26629715146146</v>
      </c>
      <c r="D55" s="22">
        <f t="shared" si="5"/>
        <v>2000</v>
      </c>
      <c r="E55" s="22">
        <f t="shared" si="6"/>
        <v>127974.77677525401</v>
      </c>
      <c r="G55" s="2"/>
      <c r="H55" s="2"/>
      <c r="I55" s="2"/>
      <c r="J55" s="2"/>
      <c r="K55" s="2"/>
      <c r="L55" s="2"/>
      <c r="M55" s="2"/>
      <c r="N55" s="2"/>
    </row>
    <row r="56" spans="1:14" ht="15" customHeight="1" x14ac:dyDescent="0.15">
      <c r="A56" s="14">
        <v>41</v>
      </c>
      <c r="B56" s="22">
        <f t="shared" si="7"/>
        <v>127974.77677525401</v>
      </c>
      <c r="C56" s="22">
        <f t="shared" si="4"/>
        <v>575.88649548864305</v>
      </c>
      <c r="D56" s="22">
        <f t="shared" si="5"/>
        <v>2000</v>
      </c>
      <c r="E56" s="22">
        <f t="shared" si="6"/>
        <v>126550.66327074265</v>
      </c>
      <c r="G56" s="1" t="s">
        <v>147</v>
      </c>
      <c r="H56" s="1"/>
      <c r="I56" s="1"/>
      <c r="J56" s="1"/>
      <c r="K56" s="1"/>
      <c r="L56" s="1"/>
      <c r="M56" s="1"/>
      <c r="N56" s="1"/>
    </row>
    <row r="57" spans="1:14" x14ac:dyDescent="0.15">
      <c r="A57" s="14">
        <v>42</v>
      </c>
      <c r="B57" s="22">
        <f t="shared" si="7"/>
        <v>126550.66327074265</v>
      </c>
      <c r="C57" s="22">
        <f t="shared" si="4"/>
        <v>569.47798471834187</v>
      </c>
      <c r="D57" s="22">
        <f t="shared" si="5"/>
        <v>2000</v>
      </c>
      <c r="E57" s="22">
        <f t="shared" si="6"/>
        <v>125120.14125546099</v>
      </c>
      <c r="G57" s="1"/>
      <c r="H57" s="1"/>
      <c r="I57" s="1"/>
      <c r="J57" s="1"/>
      <c r="K57" s="1"/>
      <c r="L57" s="1"/>
      <c r="M57" s="1"/>
      <c r="N57" s="1"/>
    </row>
    <row r="58" spans="1:14" x14ac:dyDescent="0.15">
      <c r="A58" s="14">
        <v>43</v>
      </c>
      <c r="B58" s="22">
        <f t="shared" si="7"/>
        <v>125120.14125546099</v>
      </c>
      <c r="C58" s="22">
        <f t="shared" si="4"/>
        <v>563.04063564957437</v>
      </c>
      <c r="D58" s="22">
        <f t="shared" si="5"/>
        <v>2000</v>
      </c>
      <c r="E58" s="22">
        <f t="shared" si="6"/>
        <v>123683.18189111057</v>
      </c>
      <c r="G58" s="1"/>
      <c r="H58" s="1"/>
      <c r="I58" s="1"/>
      <c r="J58" s="1"/>
      <c r="K58" s="1"/>
      <c r="L58" s="1"/>
      <c r="M58" s="1"/>
      <c r="N58" s="1"/>
    </row>
    <row r="59" spans="1:14" x14ac:dyDescent="0.15">
      <c r="A59" s="14">
        <v>44</v>
      </c>
      <c r="B59" s="22">
        <f t="shared" si="7"/>
        <v>123683.18189111057</v>
      </c>
      <c r="C59" s="22">
        <f t="shared" si="4"/>
        <v>556.57431850999751</v>
      </c>
      <c r="D59" s="22">
        <f t="shared" si="5"/>
        <v>2000</v>
      </c>
      <c r="E59" s="22">
        <f t="shared" si="6"/>
        <v>122239.75620962057</v>
      </c>
    </row>
    <row r="60" spans="1:14" x14ac:dyDescent="0.15">
      <c r="A60" s="14">
        <v>45</v>
      </c>
      <c r="B60" s="22">
        <f t="shared" si="7"/>
        <v>122239.75620962057</v>
      </c>
      <c r="C60" s="22">
        <f t="shared" si="4"/>
        <v>550.07890294329252</v>
      </c>
      <c r="D60" s="22">
        <f t="shared" si="5"/>
        <v>2000</v>
      </c>
      <c r="E60" s="22">
        <f t="shared" si="6"/>
        <v>120789.83511256386</v>
      </c>
    </row>
    <row r="61" spans="1:14" x14ac:dyDescent="0.15">
      <c r="A61" s="14">
        <v>46</v>
      </c>
      <c r="B61" s="22">
        <f t="shared" si="7"/>
        <v>120789.83511256386</v>
      </c>
      <c r="C61" s="22">
        <f t="shared" si="4"/>
        <v>543.55425800653734</v>
      </c>
      <c r="D61" s="22">
        <f t="shared" si="5"/>
        <v>2000</v>
      </c>
      <c r="E61" s="22">
        <f t="shared" si="6"/>
        <v>119333.3893705704</v>
      </c>
    </row>
    <row r="62" spans="1:14" x14ac:dyDescent="0.15">
      <c r="A62" s="14">
        <v>47</v>
      </c>
      <c r="B62" s="22">
        <f t="shared" si="7"/>
        <v>119333.3893705704</v>
      </c>
      <c r="C62" s="22">
        <f t="shared" si="4"/>
        <v>537.00025216756671</v>
      </c>
      <c r="D62" s="22">
        <f t="shared" si="5"/>
        <v>2000</v>
      </c>
      <c r="E62" s="22">
        <f t="shared" si="6"/>
        <v>117870.38962273796</v>
      </c>
    </row>
    <row r="63" spans="1:14" x14ac:dyDescent="0.15">
      <c r="A63" s="14">
        <v>48</v>
      </c>
      <c r="B63" s="22">
        <f t="shared" si="7"/>
        <v>117870.38962273796</v>
      </c>
      <c r="C63" s="22">
        <f t="shared" si="4"/>
        <v>530.41675330232079</v>
      </c>
      <c r="D63" s="22">
        <f t="shared" si="5"/>
        <v>2000</v>
      </c>
      <c r="E63" s="22">
        <f t="shared" si="6"/>
        <v>116400.80637604027</v>
      </c>
    </row>
    <row r="64" spans="1:14" x14ac:dyDescent="0.15">
      <c r="A64" s="14">
        <v>49</v>
      </c>
      <c r="B64" s="22">
        <f t="shared" si="7"/>
        <v>116400.80637604027</v>
      </c>
      <c r="C64" s="22">
        <f t="shared" si="4"/>
        <v>523.80362869218118</v>
      </c>
      <c r="D64" s="22">
        <f t="shared" si="5"/>
        <v>2000</v>
      </c>
      <c r="E64" s="22">
        <f t="shared" si="6"/>
        <v>114924.61000473246</v>
      </c>
    </row>
    <row r="65" spans="1:5" x14ac:dyDescent="0.15">
      <c r="A65" s="14">
        <v>50</v>
      </c>
      <c r="B65" s="22">
        <f t="shared" si="7"/>
        <v>114924.61000473246</v>
      </c>
      <c r="C65" s="22">
        <f t="shared" si="4"/>
        <v>517.16074502129607</v>
      </c>
      <c r="D65" s="22">
        <f t="shared" si="5"/>
        <v>2000</v>
      </c>
      <c r="E65" s="22">
        <f t="shared" si="6"/>
        <v>113441.77074975375</v>
      </c>
    </row>
    <row r="66" spans="1:5" x14ac:dyDescent="0.15">
      <c r="A66" s="14">
        <v>51</v>
      </c>
      <c r="B66" s="22">
        <f t="shared" si="7"/>
        <v>113441.77074975375</v>
      </c>
      <c r="C66" s="22">
        <f t="shared" si="4"/>
        <v>510.48796837389182</v>
      </c>
      <c r="D66" s="22">
        <f t="shared" si="5"/>
        <v>2000</v>
      </c>
      <c r="E66" s="22">
        <f t="shared" si="6"/>
        <v>111952.25871812765</v>
      </c>
    </row>
    <row r="67" spans="1:5" x14ac:dyDescent="0.15">
      <c r="A67" s="14">
        <v>52</v>
      </c>
      <c r="B67" s="22">
        <f t="shared" si="7"/>
        <v>111952.25871812765</v>
      </c>
      <c r="C67" s="22">
        <f t="shared" si="4"/>
        <v>503.78516423157436</v>
      </c>
      <c r="D67" s="22">
        <f t="shared" si="5"/>
        <v>2000</v>
      </c>
      <c r="E67" s="22">
        <f t="shared" si="6"/>
        <v>110456.04388235923</v>
      </c>
    </row>
    <row r="68" spans="1:5" x14ac:dyDescent="0.15">
      <c r="A68" s="14">
        <v>53</v>
      </c>
      <c r="B68" s="22">
        <f t="shared" si="7"/>
        <v>110456.04388235923</v>
      </c>
      <c r="C68" s="22">
        <f t="shared" si="4"/>
        <v>497.05219747061648</v>
      </c>
      <c r="D68" s="22">
        <f t="shared" si="5"/>
        <v>2000</v>
      </c>
      <c r="E68" s="22">
        <f t="shared" si="6"/>
        <v>108953.09607982985</v>
      </c>
    </row>
    <row r="69" spans="1:5" x14ac:dyDescent="0.15">
      <c r="A69" s="14">
        <v>54</v>
      </c>
      <c r="B69" s="22">
        <f t="shared" si="7"/>
        <v>108953.09607982985</v>
      </c>
      <c r="C69" s="22">
        <f t="shared" si="4"/>
        <v>490.28893235923425</v>
      </c>
      <c r="D69" s="22">
        <f t="shared" si="5"/>
        <v>2000</v>
      </c>
      <c r="E69" s="22">
        <f t="shared" si="6"/>
        <v>107443.38501218909</v>
      </c>
    </row>
    <row r="70" spans="1:5" x14ac:dyDescent="0.15">
      <c r="A70" s="14">
        <v>55</v>
      </c>
      <c r="B70" s="22">
        <f t="shared" si="7"/>
        <v>107443.38501218909</v>
      </c>
      <c r="C70" s="22">
        <f t="shared" si="4"/>
        <v>483.49523255485087</v>
      </c>
      <c r="D70" s="22">
        <f t="shared" si="5"/>
        <v>2000</v>
      </c>
      <c r="E70" s="22">
        <f t="shared" si="6"/>
        <v>105926.88024474394</v>
      </c>
    </row>
    <row r="71" spans="1:5" x14ac:dyDescent="0.15">
      <c r="A71" s="14">
        <v>56</v>
      </c>
      <c r="B71" s="22">
        <f t="shared" si="7"/>
        <v>105926.88024474394</v>
      </c>
      <c r="C71" s="22">
        <f t="shared" si="4"/>
        <v>476.6709611013477</v>
      </c>
      <c r="D71" s="22">
        <f t="shared" si="5"/>
        <v>2000</v>
      </c>
      <c r="E71" s="22">
        <f t="shared" si="6"/>
        <v>104403.55120584529</v>
      </c>
    </row>
    <row r="72" spans="1:5" x14ac:dyDescent="0.15">
      <c r="A72" s="14">
        <v>57</v>
      </c>
      <c r="B72" s="22">
        <f t="shared" si="7"/>
        <v>104403.55120584529</v>
      </c>
      <c r="C72" s="22">
        <f t="shared" si="4"/>
        <v>469.81598042630378</v>
      </c>
      <c r="D72" s="22">
        <f t="shared" si="5"/>
        <v>2000</v>
      </c>
      <c r="E72" s="22">
        <f t="shared" si="6"/>
        <v>102873.36718627159</v>
      </c>
    </row>
    <row r="73" spans="1:5" x14ac:dyDescent="0.15">
      <c r="A73" s="14">
        <v>58</v>
      </c>
      <c r="B73" s="22">
        <f t="shared" si="7"/>
        <v>102873.36718627159</v>
      </c>
      <c r="C73" s="22">
        <f t="shared" si="4"/>
        <v>462.93015233822211</v>
      </c>
      <c r="D73" s="22">
        <f t="shared" si="5"/>
        <v>2000</v>
      </c>
      <c r="E73" s="22">
        <f t="shared" si="6"/>
        <v>101336.2973386098</v>
      </c>
    </row>
    <row r="74" spans="1:5" x14ac:dyDescent="0.15">
      <c r="A74" s="14">
        <v>59</v>
      </c>
      <c r="B74" s="22">
        <f t="shared" si="7"/>
        <v>101336.2973386098</v>
      </c>
      <c r="C74" s="22">
        <f t="shared" si="4"/>
        <v>456.0133380237441</v>
      </c>
      <c r="D74" s="22">
        <f t="shared" si="5"/>
        <v>2000</v>
      </c>
      <c r="E74" s="22">
        <f t="shared" si="6"/>
        <v>99792.31067663354</v>
      </c>
    </row>
    <row r="75" spans="1:5" x14ac:dyDescent="0.15">
      <c r="A75" s="14">
        <v>60</v>
      </c>
      <c r="B75" s="22">
        <f t="shared" si="7"/>
        <v>99792.31067663354</v>
      </c>
      <c r="C75" s="22">
        <f t="shared" si="4"/>
        <v>449.06539804485089</v>
      </c>
      <c r="D75" s="22">
        <f t="shared" si="5"/>
        <v>2000</v>
      </c>
      <c r="E75" s="22">
        <f t="shared" si="6"/>
        <v>98241.376074678396</v>
      </c>
    </row>
    <row r="76" spans="1:5" x14ac:dyDescent="0.15">
      <c r="A76" s="14">
        <v>61</v>
      </c>
      <c r="B76" s="22">
        <f t="shared" si="7"/>
        <v>98241.376074678396</v>
      </c>
      <c r="C76" s="22">
        <f t="shared" si="4"/>
        <v>442.08619233605276</v>
      </c>
      <c r="D76" s="22">
        <f t="shared" si="5"/>
        <v>2000</v>
      </c>
      <c r="E76" s="22">
        <f t="shared" si="6"/>
        <v>96683.462267014445</v>
      </c>
    </row>
    <row r="77" spans="1:5" x14ac:dyDescent="0.15">
      <c r="A77" s="14">
        <v>62</v>
      </c>
      <c r="B77" s="22">
        <f t="shared" si="7"/>
        <v>96683.462267014445</v>
      </c>
      <c r="C77" s="22">
        <f t="shared" si="4"/>
        <v>435.07558020156495</v>
      </c>
      <c r="D77" s="22">
        <f t="shared" si="5"/>
        <v>2000</v>
      </c>
      <c r="E77" s="22">
        <f t="shared" si="6"/>
        <v>95118.537847216008</v>
      </c>
    </row>
    <row r="78" spans="1:5" x14ac:dyDescent="0.15">
      <c r="A78" s="14">
        <v>63</v>
      </c>
      <c r="B78" s="22">
        <f t="shared" si="7"/>
        <v>95118.537847216008</v>
      </c>
      <c r="C78" s="22">
        <f t="shared" si="4"/>
        <v>428.033420312472</v>
      </c>
      <c r="D78" s="22">
        <f t="shared" si="5"/>
        <v>2000</v>
      </c>
      <c r="E78" s="22">
        <f t="shared" si="6"/>
        <v>93546.571267528474</v>
      </c>
    </row>
    <row r="79" spans="1:5" x14ac:dyDescent="0.15">
      <c r="A79" s="14">
        <v>64</v>
      </c>
      <c r="B79" s="22">
        <f t="shared" si="7"/>
        <v>93546.571267528474</v>
      </c>
      <c r="C79" s="22">
        <f t="shared" si="4"/>
        <v>420.95957070387811</v>
      </c>
      <c r="D79" s="22">
        <f t="shared" si="5"/>
        <v>2000</v>
      </c>
      <c r="E79" s="22">
        <f t="shared" si="6"/>
        <v>91967.530838232356</v>
      </c>
    </row>
    <row r="80" spans="1:5" x14ac:dyDescent="0.15">
      <c r="A80" s="14">
        <v>65</v>
      </c>
      <c r="B80" s="22">
        <f t="shared" si="7"/>
        <v>91967.530838232356</v>
      </c>
      <c r="C80" s="22">
        <f t="shared" ref="C80:C111" si="8">B80*$B$8</f>
        <v>413.85388877204559</v>
      </c>
      <c r="D80" s="22">
        <f t="shared" ref="D80:D111" si="9">MIN($B$7,B80+C80)</f>
        <v>2000</v>
      </c>
      <c r="E80" s="22">
        <f t="shared" ref="E80:E111" si="10">B80+C80-D80</f>
        <v>90381.384727004406</v>
      </c>
    </row>
    <row r="81" spans="1:5" x14ac:dyDescent="0.15">
      <c r="A81" s="14">
        <v>66</v>
      </c>
      <c r="B81" s="22">
        <f t="shared" ref="B81:B112" si="11">E80</f>
        <v>90381.384727004406</v>
      </c>
      <c r="C81" s="22">
        <f t="shared" si="8"/>
        <v>406.7162312715198</v>
      </c>
      <c r="D81" s="22">
        <f t="shared" si="9"/>
        <v>2000</v>
      </c>
      <c r="E81" s="22">
        <f t="shared" si="10"/>
        <v>88788.100958275929</v>
      </c>
    </row>
    <row r="82" spans="1:5" x14ac:dyDescent="0.15">
      <c r="A82" s="14">
        <v>67</v>
      </c>
      <c r="B82" s="22">
        <f t="shared" si="11"/>
        <v>88788.100958275929</v>
      </c>
      <c r="C82" s="22">
        <f t="shared" si="8"/>
        <v>399.54645431224162</v>
      </c>
      <c r="D82" s="22">
        <f t="shared" si="9"/>
        <v>2000</v>
      </c>
      <c r="E82" s="22">
        <f t="shared" si="10"/>
        <v>87187.647412588165</v>
      </c>
    </row>
    <row r="83" spans="1:5" x14ac:dyDescent="0.15">
      <c r="A83" s="14">
        <v>68</v>
      </c>
      <c r="B83" s="22">
        <f t="shared" si="11"/>
        <v>87187.647412588165</v>
      </c>
      <c r="C83" s="22">
        <f t="shared" si="8"/>
        <v>392.34441335664673</v>
      </c>
      <c r="D83" s="22">
        <f t="shared" si="9"/>
        <v>2000</v>
      </c>
      <c r="E83" s="22">
        <f t="shared" si="10"/>
        <v>85579.991825944817</v>
      </c>
    </row>
    <row r="84" spans="1:5" x14ac:dyDescent="0.15">
      <c r="A84" s="14">
        <v>69</v>
      </c>
      <c r="B84" s="22">
        <f t="shared" si="11"/>
        <v>85579.991825944817</v>
      </c>
      <c r="C84" s="22">
        <f t="shared" si="8"/>
        <v>385.10996321675162</v>
      </c>
      <c r="D84" s="22">
        <f t="shared" si="9"/>
        <v>2000</v>
      </c>
      <c r="E84" s="22">
        <f t="shared" si="10"/>
        <v>83965.101789161563</v>
      </c>
    </row>
    <row r="85" spans="1:5" x14ac:dyDescent="0.15">
      <c r="A85" s="14">
        <v>70</v>
      </c>
      <c r="B85" s="22">
        <f t="shared" si="11"/>
        <v>83965.101789161563</v>
      </c>
      <c r="C85" s="22">
        <f t="shared" si="8"/>
        <v>377.84295805122701</v>
      </c>
      <c r="D85" s="22">
        <f t="shared" si="9"/>
        <v>2000</v>
      </c>
      <c r="E85" s="22">
        <f t="shared" si="10"/>
        <v>82342.944747212794</v>
      </c>
    </row>
    <row r="86" spans="1:5" x14ac:dyDescent="0.15">
      <c r="A86" s="14">
        <v>71</v>
      </c>
      <c r="B86" s="22">
        <f t="shared" si="11"/>
        <v>82342.944747212794</v>
      </c>
      <c r="C86" s="22">
        <f t="shared" si="8"/>
        <v>370.54325136245757</v>
      </c>
      <c r="D86" s="22">
        <f t="shared" si="9"/>
        <v>2000</v>
      </c>
      <c r="E86" s="22">
        <f t="shared" si="10"/>
        <v>80713.487998575249</v>
      </c>
    </row>
    <row r="87" spans="1:5" x14ac:dyDescent="0.15">
      <c r="A87" s="14">
        <v>72</v>
      </c>
      <c r="B87" s="22">
        <f t="shared" si="11"/>
        <v>80713.487998575249</v>
      </c>
      <c r="C87" s="22">
        <f t="shared" si="8"/>
        <v>363.21069599358862</v>
      </c>
      <c r="D87" s="22">
        <f t="shared" si="9"/>
        <v>2000</v>
      </c>
      <c r="E87" s="22">
        <f t="shared" si="10"/>
        <v>79076.69869456884</v>
      </c>
    </row>
    <row r="88" spans="1:5" x14ac:dyDescent="0.15">
      <c r="A88" s="14">
        <v>73</v>
      </c>
      <c r="B88" s="22">
        <f t="shared" si="11"/>
        <v>79076.69869456884</v>
      </c>
      <c r="C88" s="22">
        <f t="shared" si="8"/>
        <v>355.84514412555973</v>
      </c>
      <c r="D88" s="22">
        <f t="shared" si="9"/>
        <v>2000</v>
      </c>
      <c r="E88" s="22">
        <f t="shared" si="10"/>
        <v>77432.543838694401</v>
      </c>
    </row>
    <row r="89" spans="1:5" x14ac:dyDescent="0.15">
      <c r="A89" s="14">
        <v>74</v>
      </c>
      <c r="B89" s="22">
        <f t="shared" si="11"/>
        <v>77432.543838694401</v>
      </c>
      <c r="C89" s="22">
        <f t="shared" si="8"/>
        <v>348.44644727412475</v>
      </c>
      <c r="D89" s="22">
        <f t="shared" si="9"/>
        <v>2000</v>
      </c>
      <c r="E89" s="22">
        <f t="shared" si="10"/>
        <v>75780.990285968524</v>
      </c>
    </row>
    <row r="90" spans="1:5" x14ac:dyDescent="0.15">
      <c r="A90" s="14">
        <v>75</v>
      </c>
      <c r="B90" s="22">
        <f t="shared" si="11"/>
        <v>75780.990285968524</v>
      </c>
      <c r="C90" s="22">
        <f t="shared" si="8"/>
        <v>341.01445628685832</v>
      </c>
      <c r="D90" s="22">
        <f t="shared" si="9"/>
        <v>2000</v>
      </c>
      <c r="E90" s="22">
        <f t="shared" si="10"/>
        <v>74122.004742255376</v>
      </c>
    </row>
    <row r="91" spans="1:5" x14ac:dyDescent="0.15">
      <c r="A91" s="14">
        <v>76</v>
      </c>
      <c r="B91" s="22">
        <f t="shared" si="11"/>
        <v>74122.004742255376</v>
      </c>
      <c r="C91" s="22">
        <f t="shared" si="8"/>
        <v>333.54902134014918</v>
      </c>
      <c r="D91" s="22">
        <f t="shared" si="9"/>
        <v>2000</v>
      </c>
      <c r="E91" s="22">
        <f t="shared" si="10"/>
        <v>72455.553763595526</v>
      </c>
    </row>
    <row r="92" spans="1:5" x14ac:dyDescent="0.15">
      <c r="A92" s="14">
        <v>77</v>
      </c>
      <c r="B92" s="22">
        <f t="shared" si="11"/>
        <v>72455.553763595526</v>
      </c>
      <c r="C92" s="22">
        <f t="shared" si="8"/>
        <v>326.04999193617982</v>
      </c>
      <c r="D92" s="22">
        <f t="shared" si="9"/>
        <v>2000</v>
      </c>
      <c r="E92" s="22">
        <f t="shared" si="10"/>
        <v>70781.603755531702</v>
      </c>
    </row>
    <row r="93" spans="1:5" x14ac:dyDescent="0.15">
      <c r="A93" s="14">
        <v>78</v>
      </c>
      <c r="B93" s="22">
        <f t="shared" si="11"/>
        <v>70781.603755531702</v>
      </c>
      <c r="C93" s="22">
        <f t="shared" si="8"/>
        <v>318.51721689989262</v>
      </c>
      <c r="D93" s="22">
        <f t="shared" si="9"/>
        <v>2000</v>
      </c>
      <c r="E93" s="22">
        <f t="shared" si="10"/>
        <v>69100.1209724316</v>
      </c>
    </row>
    <row r="94" spans="1:5" x14ac:dyDescent="0.15">
      <c r="A94" s="14">
        <v>79</v>
      </c>
      <c r="B94" s="22">
        <f t="shared" si="11"/>
        <v>69100.1209724316</v>
      </c>
      <c r="C94" s="22">
        <f t="shared" si="8"/>
        <v>310.95054437594217</v>
      </c>
      <c r="D94" s="22">
        <f t="shared" si="9"/>
        <v>2000</v>
      </c>
      <c r="E94" s="22">
        <f t="shared" si="10"/>
        <v>67411.07151680754</v>
      </c>
    </row>
    <row r="95" spans="1:5" x14ac:dyDescent="0.15">
      <c r="A95" s="14">
        <v>80</v>
      </c>
      <c r="B95" s="22">
        <f t="shared" si="11"/>
        <v>67411.07151680754</v>
      </c>
      <c r="C95" s="22">
        <f t="shared" si="8"/>
        <v>303.34982182563391</v>
      </c>
      <c r="D95" s="22">
        <f t="shared" si="9"/>
        <v>2000</v>
      </c>
      <c r="E95" s="22">
        <f t="shared" si="10"/>
        <v>65714.421338633168</v>
      </c>
    </row>
    <row r="96" spans="1:5" x14ac:dyDescent="0.15">
      <c r="A96" s="14">
        <v>81</v>
      </c>
      <c r="B96" s="22">
        <f t="shared" si="11"/>
        <v>65714.421338633168</v>
      </c>
      <c r="C96" s="22">
        <f t="shared" si="8"/>
        <v>295.71489602384924</v>
      </c>
      <c r="D96" s="22">
        <f t="shared" si="9"/>
        <v>2000</v>
      </c>
      <c r="E96" s="22">
        <f t="shared" si="10"/>
        <v>64010.136234657024</v>
      </c>
    </row>
    <row r="97" spans="1:5" x14ac:dyDescent="0.15">
      <c r="A97" s="14">
        <v>82</v>
      </c>
      <c r="B97" s="22">
        <f t="shared" si="11"/>
        <v>64010.136234657024</v>
      </c>
      <c r="C97" s="22">
        <f t="shared" si="8"/>
        <v>288.04561305595661</v>
      </c>
      <c r="D97" s="22">
        <f t="shared" si="9"/>
        <v>2000</v>
      </c>
      <c r="E97" s="22">
        <f t="shared" si="10"/>
        <v>62298.181847712978</v>
      </c>
    </row>
    <row r="98" spans="1:5" x14ac:dyDescent="0.15">
      <c r="A98" s="14">
        <v>83</v>
      </c>
      <c r="B98" s="22">
        <f t="shared" si="11"/>
        <v>62298.181847712978</v>
      </c>
      <c r="C98" s="22">
        <f t="shared" si="8"/>
        <v>280.34181831470841</v>
      </c>
      <c r="D98" s="22">
        <f t="shared" si="9"/>
        <v>2000</v>
      </c>
      <c r="E98" s="22">
        <f t="shared" si="10"/>
        <v>60578.523666027686</v>
      </c>
    </row>
    <row r="99" spans="1:5" x14ac:dyDescent="0.15">
      <c r="A99" s="14">
        <v>84</v>
      </c>
      <c r="B99" s="22">
        <f t="shared" si="11"/>
        <v>60578.523666027686</v>
      </c>
      <c r="C99" s="22">
        <f t="shared" si="8"/>
        <v>272.60335649712459</v>
      </c>
      <c r="D99" s="22">
        <f t="shared" si="9"/>
        <v>2000</v>
      </c>
      <c r="E99" s="22">
        <f t="shared" si="10"/>
        <v>58851.127022524808</v>
      </c>
    </row>
    <row r="100" spans="1:5" x14ac:dyDescent="0.15">
      <c r="A100" s="14">
        <v>85</v>
      </c>
      <c r="B100" s="22">
        <f t="shared" si="11"/>
        <v>58851.127022524808</v>
      </c>
      <c r="C100" s="22">
        <f t="shared" si="8"/>
        <v>264.83007160136162</v>
      </c>
      <c r="D100" s="22">
        <f t="shared" si="9"/>
        <v>2000</v>
      </c>
      <c r="E100" s="22">
        <f t="shared" si="10"/>
        <v>57115.95709412617</v>
      </c>
    </row>
    <row r="101" spans="1:5" x14ac:dyDescent="0.15">
      <c r="A101" s="14">
        <v>86</v>
      </c>
      <c r="B101" s="22">
        <f t="shared" si="11"/>
        <v>57115.95709412617</v>
      </c>
      <c r="C101" s="22">
        <f t="shared" si="8"/>
        <v>257.02180692356774</v>
      </c>
      <c r="D101" s="22">
        <f t="shared" si="9"/>
        <v>2000</v>
      </c>
      <c r="E101" s="22">
        <f t="shared" si="10"/>
        <v>55372.978901049741</v>
      </c>
    </row>
    <row r="102" spans="1:5" x14ac:dyDescent="0.15">
      <c r="A102" s="14">
        <v>87</v>
      </c>
      <c r="B102" s="22">
        <f t="shared" si="11"/>
        <v>55372.978901049741</v>
      </c>
      <c r="C102" s="22">
        <f t="shared" si="8"/>
        <v>249.17840505472381</v>
      </c>
      <c r="D102" s="22">
        <f t="shared" si="9"/>
        <v>2000</v>
      </c>
      <c r="E102" s="22">
        <f t="shared" si="10"/>
        <v>53622.157306104462</v>
      </c>
    </row>
    <row r="103" spans="1:5" x14ac:dyDescent="0.15">
      <c r="A103" s="14">
        <v>88</v>
      </c>
      <c r="B103" s="22">
        <f t="shared" si="11"/>
        <v>53622.157306104462</v>
      </c>
      <c r="C103" s="22">
        <f t="shared" si="8"/>
        <v>241.29970787747007</v>
      </c>
      <c r="D103" s="22">
        <f t="shared" si="9"/>
        <v>2000</v>
      </c>
      <c r="E103" s="22">
        <f t="shared" si="10"/>
        <v>51863.457013981933</v>
      </c>
    </row>
    <row r="104" spans="1:5" x14ac:dyDescent="0.15">
      <c r="A104" s="14">
        <v>89</v>
      </c>
      <c r="B104" s="22">
        <f t="shared" si="11"/>
        <v>51863.457013981933</v>
      </c>
      <c r="C104" s="22">
        <f t="shared" si="8"/>
        <v>233.38555656291868</v>
      </c>
      <c r="D104" s="22">
        <f t="shared" si="9"/>
        <v>2000</v>
      </c>
      <c r="E104" s="22">
        <f t="shared" si="10"/>
        <v>50096.842570544854</v>
      </c>
    </row>
    <row r="105" spans="1:5" x14ac:dyDescent="0.15">
      <c r="A105" s="14">
        <v>90</v>
      </c>
      <c r="B105" s="22">
        <f t="shared" si="11"/>
        <v>50096.842570544854</v>
      </c>
      <c r="C105" s="22">
        <f t="shared" si="8"/>
        <v>225.43579156745182</v>
      </c>
      <c r="D105" s="22">
        <f t="shared" si="9"/>
        <v>2000</v>
      </c>
      <c r="E105" s="22">
        <f t="shared" si="10"/>
        <v>48322.278362112309</v>
      </c>
    </row>
    <row r="106" spans="1:5" x14ac:dyDescent="0.15">
      <c r="A106" s="14">
        <v>91</v>
      </c>
      <c r="B106" s="22">
        <f t="shared" si="11"/>
        <v>48322.278362112309</v>
      </c>
      <c r="C106" s="22">
        <f t="shared" si="8"/>
        <v>217.45025262950537</v>
      </c>
      <c r="D106" s="22">
        <f t="shared" si="9"/>
        <v>2000</v>
      </c>
      <c r="E106" s="22">
        <f t="shared" si="10"/>
        <v>46539.728614741813</v>
      </c>
    </row>
    <row r="107" spans="1:5" x14ac:dyDescent="0.15">
      <c r="A107" s="14">
        <v>92</v>
      </c>
      <c r="B107" s="22">
        <f t="shared" si="11"/>
        <v>46539.728614741813</v>
      </c>
      <c r="C107" s="22">
        <f t="shared" si="8"/>
        <v>209.42877876633816</v>
      </c>
      <c r="D107" s="22">
        <f t="shared" si="9"/>
        <v>2000</v>
      </c>
      <c r="E107" s="22">
        <f t="shared" si="10"/>
        <v>44749.157393508154</v>
      </c>
    </row>
    <row r="108" spans="1:5" x14ac:dyDescent="0.15">
      <c r="A108" s="14">
        <v>93</v>
      </c>
      <c r="B108" s="22">
        <f t="shared" si="11"/>
        <v>44749.157393508154</v>
      </c>
      <c r="C108" s="22">
        <f t="shared" si="8"/>
        <v>201.37120827078667</v>
      </c>
      <c r="D108" s="22">
        <f t="shared" si="9"/>
        <v>2000</v>
      </c>
      <c r="E108" s="22">
        <f t="shared" si="10"/>
        <v>42950.52860177894</v>
      </c>
    </row>
    <row r="109" spans="1:5" x14ac:dyDescent="0.15">
      <c r="A109" s="14">
        <v>94</v>
      </c>
      <c r="B109" s="22">
        <f t="shared" si="11"/>
        <v>42950.52860177894</v>
      </c>
      <c r="C109" s="22">
        <f t="shared" si="8"/>
        <v>193.27737870800522</v>
      </c>
      <c r="D109" s="22">
        <f t="shared" si="9"/>
        <v>2000</v>
      </c>
      <c r="E109" s="22">
        <f t="shared" si="10"/>
        <v>41143.805980486948</v>
      </c>
    </row>
    <row r="110" spans="1:5" x14ac:dyDescent="0.15">
      <c r="A110" s="14">
        <v>95</v>
      </c>
      <c r="B110" s="22">
        <f t="shared" si="11"/>
        <v>41143.805980486948</v>
      </c>
      <c r="C110" s="22">
        <f t="shared" si="8"/>
        <v>185.14712691219125</v>
      </c>
      <c r="D110" s="22">
        <f t="shared" si="9"/>
        <v>2000</v>
      </c>
      <c r="E110" s="22">
        <f t="shared" si="10"/>
        <v>39328.953107399138</v>
      </c>
    </row>
    <row r="111" spans="1:5" x14ac:dyDescent="0.15">
      <c r="A111" s="14">
        <v>96</v>
      </c>
      <c r="B111" s="22">
        <f t="shared" si="11"/>
        <v>39328.953107399138</v>
      </c>
      <c r="C111" s="22">
        <f t="shared" si="8"/>
        <v>176.98028898329611</v>
      </c>
      <c r="D111" s="22">
        <f t="shared" si="9"/>
        <v>2000</v>
      </c>
      <c r="E111" s="22">
        <f t="shared" si="10"/>
        <v>37505.933396382432</v>
      </c>
    </row>
    <row r="112" spans="1:5" x14ac:dyDescent="0.15">
      <c r="A112" s="14">
        <v>97</v>
      </c>
      <c r="B112" s="22">
        <f t="shared" si="11"/>
        <v>37505.933396382432</v>
      </c>
      <c r="C112" s="22">
        <f t="shared" ref="C112:C143" si="12">B112*$B$8</f>
        <v>168.77670028372094</v>
      </c>
      <c r="D112" s="22">
        <f t="shared" ref="D112:D143" si="13">MIN($B$7,B112+C112)</f>
        <v>2000</v>
      </c>
      <c r="E112" s="22">
        <f t="shared" ref="E112:E143" si="14">B112+C112-D112</f>
        <v>35674.710096666153</v>
      </c>
    </row>
    <row r="113" spans="1:5" x14ac:dyDescent="0.15">
      <c r="A113" s="14">
        <v>98</v>
      </c>
      <c r="B113" s="22">
        <f t="shared" ref="B113:B144" si="15">E112</f>
        <v>35674.710096666153</v>
      </c>
      <c r="C113" s="22">
        <f t="shared" si="12"/>
        <v>160.53619543499767</v>
      </c>
      <c r="D113" s="22">
        <f t="shared" si="13"/>
        <v>2000</v>
      </c>
      <c r="E113" s="22">
        <f t="shared" si="14"/>
        <v>33835.246292101154</v>
      </c>
    </row>
    <row r="114" spans="1:5" x14ac:dyDescent="0.15">
      <c r="A114" s="14">
        <v>99</v>
      </c>
      <c r="B114" s="22">
        <f t="shared" si="15"/>
        <v>33835.246292101154</v>
      </c>
      <c r="C114" s="22">
        <f t="shared" si="12"/>
        <v>152.25860831445519</v>
      </c>
      <c r="D114" s="22">
        <f t="shared" si="13"/>
        <v>2000</v>
      </c>
      <c r="E114" s="22">
        <f t="shared" si="14"/>
        <v>31987.50490041561</v>
      </c>
    </row>
    <row r="115" spans="1:5" x14ac:dyDescent="0.15">
      <c r="A115" s="14">
        <v>100</v>
      </c>
      <c r="B115" s="22">
        <f t="shared" si="15"/>
        <v>31987.50490041561</v>
      </c>
      <c r="C115" s="22">
        <f t="shared" si="12"/>
        <v>143.94377205187024</v>
      </c>
      <c r="D115" s="22">
        <f t="shared" si="13"/>
        <v>2000</v>
      </c>
      <c r="E115" s="22">
        <f t="shared" si="14"/>
        <v>30131.448672467479</v>
      </c>
    </row>
    <row r="116" spans="1:5" x14ac:dyDescent="0.15">
      <c r="A116" s="14">
        <v>101</v>
      </c>
      <c r="B116" s="22">
        <f t="shared" si="15"/>
        <v>30131.448672467479</v>
      </c>
      <c r="C116" s="22">
        <f t="shared" si="12"/>
        <v>135.59151902610364</v>
      </c>
      <c r="D116" s="22">
        <f t="shared" si="13"/>
        <v>2000</v>
      </c>
      <c r="E116" s="22">
        <f t="shared" si="14"/>
        <v>28267.040191493583</v>
      </c>
    </row>
    <row r="117" spans="1:5" x14ac:dyDescent="0.15">
      <c r="A117" s="14">
        <v>102</v>
      </c>
      <c r="B117" s="22">
        <f t="shared" si="15"/>
        <v>28267.040191493583</v>
      </c>
      <c r="C117" s="22">
        <f t="shared" si="12"/>
        <v>127.20168086172112</v>
      </c>
      <c r="D117" s="22">
        <f t="shared" si="13"/>
        <v>2000</v>
      </c>
      <c r="E117" s="22">
        <f t="shared" si="14"/>
        <v>26394.241872355306</v>
      </c>
    </row>
    <row r="118" spans="1:5" x14ac:dyDescent="0.15">
      <c r="A118" s="14">
        <v>103</v>
      </c>
      <c r="B118" s="22">
        <f t="shared" si="15"/>
        <v>26394.241872355306</v>
      </c>
      <c r="C118" s="22">
        <f t="shared" si="12"/>
        <v>118.77408842559886</v>
      </c>
      <c r="D118" s="22">
        <f t="shared" si="13"/>
        <v>2000</v>
      </c>
      <c r="E118" s="22">
        <f t="shared" si="14"/>
        <v>24513.015960780904</v>
      </c>
    </row>
    <row r="119" spans="1:5" x14ac:dyDescent="0.15">
      <c r="A119" s="14">
        <v>104</v>
      </c>
      <c r="B119" s="22">
        <f t="shared" si="15"/>
        <v>24513.015960780904</v>
      </c>
      <c r="C119" s="22">
        <f t="shared" si="12"/>
        <v>110.30857182351406</v>
      </c>
      <c r="D119" s="22">
        <f t="shared" si="13"/>
        <v>2000</v>
      </c>
      <c r="E119" s="22">
        <f t="shared" si="14"/>
        <v>22623.324532604416</v>
      </c>
    </row>
    <row r="120" spans="1:5" x14ac:dyDescent="0.15">
      <c r="A120" s="14">
        <v>105</v>
      </c>
      <c r="B120" s="22">
        <f t="shared" si="15"/>
        <v>22623.324532604416</v>
      </c>
      <c r="C120" s="22">
        <f t="shared" si="12"/>
        <v>101.80496039671986</v>
      </c>
      <c r="D120" s="22">
        <f t="shared" si="13"/>
        <v>2000</v>
      </c>
      <c r="E120" s="22">
        <f t="shared" si="14"/>
        <v>20725.129493001135</v>
      </c>
    </row>
    <row r="121" spans="1:5" x14ac:dyDescent="0.15">
      <c r="A121" s="14">
        <v>106</v>
      </c>
      <c r="B121" s="22">
        <f t="shared" si="15"/>
        <v>20725.129493001135</v>
      </c>
      <c r="C121" s="22">
        <f t="shared" si="12"/>
        <v>93.263082718505103</v>
      </c>
      <c r="D121" s="22">
        <f t="shared" si="13"/>
        <v>2000</v>
      </c>
      <c r="E121" s="22">
        <f t="shared" si="14"/>
        <v>18818.392575719641</v>
      </c>
    </row>
    <row r="122" spans="1:5" x14ac:dyDescent="0.15">
      <c r="A122" s="14">
        <v>107</v>
      </c>
      <c r="B122" s="22">
        <f t="shared" si="15"/>
        <v>18818.392575719641</v>
      </c>
      <c r="C122" s="22">
        <f t="shared" si="12"/>
        <v>84.682766590738382</v>
      </c>
      <c r="D122" s="22">
        <f t="shared" si="13"/>
        <v>2000</v>
      </c>
      <c r="E122" s="22">
        <f t="shared" si="14"/>
        <v>16903.075342310378</v>
      </c>
    </row>
    <row r="123" spans="1:5" x14ac:dyDescent="0.15">
      <c r="A123" s="14">
        <v>108</v>
      </c>
      <c r="B123" s="22">
        <f t="shared" si="15"/>
        <v>16903.075342310378</v>
      </c>
      <c r="C123" s="22">
        <f t="shared" si="12"/>
        <v>76.063839040396701</v>
      </c>
      <c r="D123" s="22">
        <f t="shared" si="13"/>
        <v>2000</v>
      </c>
      <c r="E123" s="22">
        <f t="shared" si="14"/>
        <v>14979.139181350776</v>
      </c>
    </row>
    <row r="124" spans="1:5" x14ac:dyDescent="0.15">
      <c r="A124" s="14">
        <v>109</v>
      </c>
      <c r="B124" s="22">
        <f t="shared" si="15"/>
        <v>14979.139181350776</v>
      </c>
      <c r="C124" s="22">
        <f t="shared" si="12"/>
        <v>67.406126316078485</v>
      </c>
      <c r="D124" s="22">
        <f t="shared" si="13"/>
        <v>2000</v>
      </c>
      <c r="E124" s="22">
        <f t="shared" si="14"/>
        <v>13046.545307666855</v>
      </c>
    </row>
    <row r="125" spans="1:5" x14ac:dyDescent="0.15">
      <c r="A125" s="14">
        <v>110</v>
      </c>
      <c r="B125" s="22">
        <f t="shared" si="15"/>
        <v>13046.545307666855</v>
      </c>
      <c r="C125" s="22">
        <f t="shared" si="12"/>
        <v>58.709453884500839</v>
      </c>
      <c r="D125" s="22">
        <f t="shared" si="13"/>
        <v>2000</v>
      </c>
      <c r="E125" s="22">
        <f t="shared" si="14"/>
        <v>11105.254761551356</v>
      </c>
    </row>
    <row r="126" spans="1:5" x14ac:dyDescent="0.15">
      <c r="A126" s="14">
        <v>111</v>
      </c>
      <c r="B126" s="22">
        <f t="shared" si="15"/>
        <v>11105.254761551356</v>
      </c>
      <c r="C126" s="22">
        <f t="shared" si="12"/>
        <v>49.973646426981098</v>
      </c>
      <c r="D126" s="22">
        <f t="shared" si="13"/>
        <v>2000</v>
      </c>
      <c r="E126" s="22">
        <f t="shared" si="14"/>
        <v>9155.2284079783367</v>
      </c>
    </row>
    <row r="127" spans="1:5" x14ac:dyDescent="0.15">
      <c r="A127" s="14">
        <v>112</v>
      </c>
      <c r="B127" s="22">
        <f t="shared" si="15"/>
        <v>9155.2284079783367</v>
      </c>
      <c r="C127" s="22">
        <f t="shared" si="12"/>
        <v>41.19852783590251</v>
      </c>
      <c r="D127" s="22">
        <f t="shared" si="13"/>
        <v>2000</v>
      </c>
      <c r="E127" s="22">
        <f t="shared" si="14"/>
        <v>7196.4269358142392</v>
      </c>
    </row>
    <row r="128" spans="1:5" x14ac:dyDescent="0.15">
      <c r="A128" s="14">
        <v>113</v>
      </c>
      <c r="B128" s="22">
        <f t="shared" si="15"/>
        <v>7196.4269358142392</v>
      </c>
      <c r="C128" s="22">
        <f t="shared" si="12"/>
        <v>32.383921211164072</v>
      </c>
      <c r="D128" s="22">
        <f t="shared" si="13"/>
        <v>2000</v>
      </c>
      <c r="E128" s="22">
        <f t="shared" si="14"/>
        <v>5228.8108570254035</v>
      </c>
    </row>
    <row r="129" spans="1:5" x14ac:dyDescent="0.15">
      <c r="A129" s="14">
        <v>114</v>
      </c>
      <c r="B129" s="22">
        <f t="shared" si="15"/>
        <v>5228.8108570254035</v>
      </c>
      <c r="C129" s="22">
        <f t="shared" si="12"/>
        <v>23.529648856614315</v>
      </c>
      <c r="D129" s="22">
        <f t="shared" si="13"/>
        <v>2000</v>
      </c>
      <c r="E129" s="22">
        <f t="shared" si="14"/>
        <v>3252.3405058820181</v>
      </c>
    </row>
    <row r="130" spans="1:5" x14ac:dyDescent="0.15">
      <c r="A130" s="14">
        <v>115</v>
      </c>
      <c r="B130" s="22">
        <f t="shared" si="15"/>
        <v>3252.3405058820181</v>
      </c>
      <c r="C130" s="22">
        <f t="shared" si="12"/>
        <v>14.63553227646908</v>
      </c>
      <c r="D130" s="22">
        <f t="shared" si="13"/>
        <v>2000</v>
      </c>
      <c r="E130" s="22">
        <f t="shared" si="14"/>
        <v>1266.976038158487</v>
      </c>
    </row>
    <row r="131" spans="1:5" x14ac:dyDescent="0.15">
      <c r="A131" s="14">
        <v>116</v>
      </c>
      <c r="B131" s="22">
        <f t="shared" si="15"/>
        <v>1266.976038158487</v>
      </c>
      <c r="C131" s="22">
        <f t="shared" si="12"/>
        <v>5.7013921717131906</v>
      </c>
      <c r="D131" s="22">
        <f t="shared" si="13"/>
        <v>1272.6774303302002</v>
      </c>
      <c r="E131" s="22">
        <f t="shared" si="14"/>
        <v>0</v>
      </c>
    </row>
    <row r="132" spans="1:5" x14ac:dyDescent="0.15">
      <c r="A132" s="14">
        <v>117</v>
      </c>
      <c r="B132" s="22">
        <f t="shared" si="15"/>
        <v>0</v>
      </c>
      <c r="C132" s="22">
        <f t="shared" si="12"/>
        <v>0</v>
      </c>
      <c r="D132" s="22">
        <f t="shared" si="13"/>
        <v>0</v>
      </c>
      <c r="E132" s="22">
        <f t="shared" si="14"/>
        <v>0</v>
      </c>
    </row>
    <row r="133" spans="1:5" x14ac:dyDescent="0.15">
      <c r="A133" s="14">
        <v>118</v>
      </c>
      <c r="B133" s="22">
        <f t="shared" si="15"/>
        <v>0</v>
      </c>
      <c r="C133" s="22">
        <f t="shared" si="12"/>
        <v>0</v>
      </c>
      <c r="D133" s="22">
        <f t="shared" si="13"/>
        <v>0</v>
      </c>
      <c r="E133" s="22">
        <f t="shared" si="14"/>
        <v>0</v>
      </c>
    </row>
    <row r="134" spans="1:5" x14ac:dyDescent="0.15">
      <c r="A134" s="14">
        <v>119</v>
      </c>
      <c r="B134" s="22">
        <f t="shared" si="15"/>
        <v>0</v>
      </c>
      <c r="C134" s="22">
        <f t="shared" si="12"/>
        <v>0</v>
      </c>
      <c r="D134" s="22">
        <f t="shared" si="13"/>
        <v>0</v>
      </c>
      <c r="E134" s="22">
        <f t="shared" si="14"/>
        <v>0</v>
      </c>
    </row>
    <row r="135" spans="1:5" x14ac:dyDescent="0.15">
      <c r="A135" s="14">
        <v>120</v>
      </c>
      <c r="B135" s="22">
        <f t="shared" si="15"/>
        <v>0</v>
      </c>
      <c r="C135" s="22">
        <f t="shared" si="12"/>
        <v>0</v>
      </c>
      <c r="D135" s="22">
        <f t="shared" si="13"/>
        <v>0</v>
      </c>
      <c r="E135" s="22">
        <f t="shared" si="14"/>
        <v>0</v>
      </c>
    </row>
    <row r="136" spans="1:5" x14ac:dyDescent="0.15">
      <c r="A136" s="14">
        <v>121</v>
      </c>
      <c r="B136" s="22">
        <f t="shared" si="15"/>
        <v>0</v>
      </c>
      <c r="C136" s="22">
        <f t="shared" si="12"/>
        <v>0</v>
      </c>
      <c r="D136" s="22">
        <f t="shared" si="13"/>
        <v>0</v>
      </c>
      <c r="E136" s="22">
        <f t="shared" si="14"/>
        <v>0</v>
      </c>
    </row>
    <row r="137" spans="1:5" x14ac:dyDescent="0.15">
      <c r="A137" s="14">
        <v>122</v>
      </c>
      <c r="B137" s="22">
        <f t="shared" si="15"/>
        <v>0</v>
      </c>
      <c r="C137" s="22">
        <f t="shared" si="12"/>
        <v>0</v>
      </c>
      <c r="D137" s="22">
        <f t="shared" si="13"/>
        <v>0</v>
      </c>
      <c r="E137" s="22">
        <f t="shared" si="14"/>
        <v>0</v>
      </c>
    </row>
    <row r="138" spans="1:5" x14ac:dyDescent="0.15">
      <c r="A138" s="14">
        <v>123</v>
      </c>
      <c r="B138" s="22">
        <f t="shared" si="15"/>
        <v>0</v>
      </c>
      <c r="C138" s="22">
        <f t="shared" si="12"/>
        <v>0</v>
      </c>
      <c r="D138" s="22">
        <f t="shared" si="13"/>
        <v>0</v>
      </c>
      <c r="E138" s="22">
        <f t="shared" si="14"/>
        <v>0</v>
      </c>
    </row>
    <row r="139" spans="1:5" x14ac:dyDescent="0.15">
      <c r="A139" s="14">
        <v>124</v>
      </c>
      <c r="B139" s="22">
        <f t="shared" si="15"/>
        <v>0</v>
      </c>
      <c r="C139" s="22">
        <f t="shared" si="12"/>
        <v>0</v>
      </c>
      <c r="D139" s="22">
        <f t="shared" si="13"/>
        <v>0</v>
      </c>
      <c r="E139" s="22">
        <f t="shared" si="14"/>
        <v>0</v>
      </c>
    </row>
    <row r="140" spans="1:5" x14ac:dyDescent="0.15">
      <c r="A140" s="14">
        <v>125</v>
      </c>
      <c r="B140" s="22">
        <f t="shared" si="15"/>
        <v>0</v>
      </c>
      <c r="C140" s="22">
        <f t="shared" si="12"/>
        <v>0</v>
      </c>
      <c r="D140" s="22">
        <f t="shared" si="13"/>
        <v>0</v>
      </c>
      <c r="E140" s="22">
        <f t="shared" si="14"/>
        <v>0</v>
      </c>
    </row>
    <row r="141" spans="1:5" x14ac:dyDescent="0.15">
      <c r="A141" s="14">
        <v>126</v>
      </c>
      <c r="B141" s="22">
        <f t="shared" si="15"/>
        <v>0</v>
      </c>
      <c r="C141" s="22">
        <f t="shared" si="12"/>
        <v>0</v>
      </c>
      <c r="D141" s="22">
        <f t="shared" si="13"/>
        <v>0</v>
      </c>
      <c r="E141" s="22">
        <f t="shared" si="14"/>
        <v>0</v>
      </c>
    </row>
    <row r="142" spans="1:5" x14ac:dyDescent="0.15">
      <c r="A142" s="14">
        <v>127</v>
      </c>
      <c r="B142" s="22">
        <f t="shared" si="15"/>
        <v>0</v>
      </c>
      <c r="C142" s="22">
        <f t="shared" si="12"/>
        <v>0</v>
      </c>
      <c r="D142" s="22">
        <f t="shared" si="13"/>
        <v>0</v>
      </c>
      <c r="E142" s="22">
        <f t="shared" si="14"/>
        <v>0</v>
      </c>
    </row>
    <row r="143" spans="1:5" x14ac:dyDescent="0.15">
      <c r="A143" s="14">
        <v>128</v>
      </c>
      <c r="B143" s="22">
        <f t="shared" si="15"/>
        <v>0</v>
      </c>
      <c r="C143" s="22">
        <f t="shared" si="12"/>
        <v>0</v>
      </c>
      <c r="D143" s="22">
        <f t="shared" si="13"/>
        <v>0</v>
      </c>
      <c r="E143" s="22">
        <f t="shared" si="14"/>
        <v>0</v>
      </c>
    </row>
    <row r="144" spans="1:5" x14ac:dyDescent="0.15">
      <c r="A144" s="14">
        <v>129</v>
      </c>
      <c r="B144" s="22">
        <f t="shared" si="15"/>
        <v>0</v>
      </c>
      <c r="C144" s="22">
        <f t="shared" ref="C144:C175" si="16">B144*$B$8</f>
        <v>0</v>
      </c>
      <c r="D144" s="22">
        <f t="shared" ref="D144:D175" si="17">MIN($B$7,B144+C144)</f>
        <v>0</v>
      </c>
      <c r="E144" s="22">
        <f t="shared" ref="E144:E175" si="18">B144+C144-D144</f>
        <v>0</v>
      </c>
    </row>
    <row r="145" spans="1:5" x14ac:dyDescent="0.15">
      <c r="A145" s="14">
        <v>130</v>
      </c>
      <c r="B145" s="22">
        <f t="shared" ref="B145:B176" si="19">E144</f>
        <v>0</v>
      </c>
      <c r="C145" s="22">
        <f t="shared" si="16"/>
        <v>0</v>
      </c>
      <c r="D145" s="22">
        <f t="shared" si="17"/>
        <v>0</v>
      </c>
      <c r="E145" s="22">
        <f t="shared" si="18"/>
        <v>0</v>
      </c>
    </row>
    <row r="146" spans="1:5" x14ac:dyDescent="0.15">
      <c r="A146" s="14">
        <v>131</v>
      </c>
      <c r="B146" s="22">
        <f t="shared" si="19"/>
        <v>0</v>
      </c>
      <c r="C146" s="22">
        <f t="shared" si="16"/>
        <v>0</v>
      </c>
      <c r="D146" s="22">
        <f t="shared" si="17"/>
        <v>0</v>
      </c>
      <c r="E146" s="22">
        <f t="shared" si="18"/>
        <v>0</v>
      </c>
    </row>
    <row r="147" spans="1:5" x14ac:dyDescent="0.15">
      <c r="A147" s="14">
        <v>132</v>
      </c>
      <c r="B147" s="22">
        <f t="shared" si="19"/>
        <v>0</v>
      </c>
      <c r="C147" s="22">
        <f t="shared" si="16"/>
        <v>0</v>
      </c>
      <c r="D147" s="22">
        <f t="shared" si="17"/>
        <v>0</v>
      </c>
      <c r="E147" s="22">
        <f t="shared" si="18"/>
        <v>0</v>
      </c>
    </row>
    <row r="148" spans="1:5" x14ac:dyDescent="0.15">
      <c r="A148" s="14">
        <v>133</v>
      </c>
      <c r="B148" s="22">
        <f t="shared" si="19"/>
        <v>0</v>
      </c>
      <c r="C148" s="22">
        <f t="shared" si="16"/>
        <v>0</v>
      </c>
      <c r="D148" s="22">
        <f t="shared" si="17"/>
        <v>0</v>
      </c>
      <c r="E148" s="22">
        <f t="shared" si="18"/>
        <v>0</v>
      </c>
    </row>
    <row r="149" spans="1:5" x14ac:dyDescent="0.15">
      <c r="A149" s="14">
        <v>134</v>
      </c>
      <c r="B149" s="22">
        <f t="shared" si="19"/>
        <v>0</v>
      </c>
      <c r="C149" s="22">
        <f t="shared" si="16"/>
        <v>0</v>
      </c>
      <c r="D149" s="22">
        <f t="shared" si="17"/>
        <v>0</v>
      </c>
      <c r="E149" s="22">
        <f t="shared" si="18"/>
        <v>0</v>
      </c>
    </row>
    <row r="150" spans="1:5" x14ac:dyDescent="0.15">
      <c r="A150" s="14">
        <v>135</v>
      </c>
      <c r="B150" s="22">
        <f t="shared" si="19"/>
        <v>0</v>
      </c>
      <c r="C150" s="22">
        <f t="shared" si="16"/>
        <v>0</v>
      </c>
      <c r="D150" s="22">
        <f t="shared" si="17"/>
        <v>0</v>
      </c>
      <c r="E150" s="22">
        <f t="shared" si="18"/>
        <v>0</v>
      </c>
    </row>
    <row r="151" spans="1:5" x14ac:dyDescent="0.15">
      <c r="A151" s="14">
        <v>136</v>
      </c>
      <c r="B151" s="22">
        <f t="shared" si="19"/>
        <v>0</v>
      </c>
      <c r="C151" s="22">
        <f t="shared" si="16"/>
        <v>0</v>
      </c>
      <c r="D151" s="22">
        <f t="shared" si="17"/>
        <v>0</v>
      </c>
      <c r="E151" s="22">
        <f t="shared" si="18"/>
        <v>0</v>
      </c>
    </row>
    <row r="152" spans="1:5" x14ac:dyDescent="0.15">
      <c r="A152" s="14">
        <v>137</v>
      </c>
      <c r="B152" s="22">
        <f t="shared" si="19"/>
        <v>0</v>
      </c>
      <c r="C152" s="22">
        <f t="shared" si="16"/>
        <v>0</v>
      </c>
      <c r="D152" s="22">
        <f t="shared" si="17"/>
        <v>0</v>
      </c>
      <c r="E152" s="22">
        <f t="shared" si="18"/>
        <v>0</v>
      </c>
    </row>
    <row r="153" spans="1:5" x14ac:dyDescent="0.15">
      <c r="A153" s="14">
        <v>138</v>
      </c>
      <c r="B153" s="22">
        <f t="shared" si="19"/>
        <v>0</v>
      </c>
      <c r="C153" s="22">
        <f t="shared" si="16"/>
        <v>0</v>
      </c>
      <c r="D153" s="22">
        <f t="shared" si="17"/>
        <v>0</v>
      </c>
      <c r="E153" s="22">
        <f t="shared" si="18"/>
        <v>0</v>
      </c>
    </row>
    <row r="154" spans="1:5" x14ac:dyDescent="0.15">
      <c r="A154" s="14">
        <v>139</v>
      </c>
      <c r="B154" s="22">
        <f t="shared" si="19"/>
        <v>0</v>
      </c>
      <c r="C154" s="22">
        <f t="shared" si="16"/>
        <v>0</v>
      </c>
      <c r="D154" s="22">
        <f t="shared" si="17"/>
        <v>0</v>
      </c>
      <c r="E154" s="22">
        <f t="shared" si="18"/>
        <v>0</v>
      </c>
    </row>
    <row r="155" spans="1:5" x14ac:dyDescent="0.15">
      <c r="A155" s="14">
        <v>140</v>
      </c>
      <c r="B155" s="22">
        <f t="shared" si="19"/>
        <v>0</v>
      </c>
      <c r="C155" s="22">
        <f t="shared" si="16"/>
        <v>0</v>
      </c>
      <c r="D155" s="22">
        <f t="shared" si="17"/>
        <v>0</v>
      </c>
      <c r="E155" s="22">
        <f t="shared" si="18"/>
        <v>0</v>
      </c>
    </row>
    <row r="156" spans="1:5" x14ac:dyDescent="0.15">
      <c r="A156" s="14">
        <v>141</v>
      </c>
      <c r="B156" s="22">
        <f t="shared" si="19"/>
        <v>0</v>
      </c>
      <c r="C156" s="22">
        <f t="shared" si="16"/>
        <v>0</v>
      </c>
      <c r="D156" s="22">
        <f t="shared" si="17"/>
        <v>0</v>
      </c>
      <c r="E156" s="22">
        <f t="shared" si="18"/>
        <v>0</v>
      </c>
    </row>
    <row r="157" spans="1:5" x14ac:dyDescent="0.15">
      <c r="A157" s="14">
        <v>142</v>
      </c>
      <c r="B157" s="22">
        <f t="shared" si="19"/>
        <v>0</v>
      </c>
      <c r="C157" s="22">
        <f t="shared" si="16"/>
        <v>0</v>
      </c>
      <c r="D157" s="22">
        <f t="shared" si="17"/>
        <v>0</v>
      </c>
      <c r="E157" s="22">
        <f t="shared" si="18"/>
        <v>0</v>
      </c>
    </row>
    <row r="158" spans="1:5" x14ac:dyDescent="0.15">
      <c r="A158" s="14">
        <v>143</v>
      </c>
      <c r="B158" s="22">
        <f t="shared" si="19"/>
        <v>0</v>
      </c>
      <c r="C158" s="22">
        <f t="shared" si="16"/>
        <v>0</v>
      </c>
      <c r="D158" s="22">
        <f t="shared" si="17"/>
        <v>0</v>
      </c>
      <c r="E158" s="22">
        <f t="shared" si="18"/>
        <v>0</v>
      </c>
    </row>
    <row r="159" spans="1:5" x14ac:dyDescent="0.15">
      <c r="A159" s="14">
        <v>144</v>
      </c>
      <c r="B159" s="22">
        <f t="shared" si="19"/>
        <v>0</v>
      </c>
      <c r="C159" s="22">
        <f t="shared" si="16"/>
        <v>0</v>
      </c>
      <c r="D159" s="22">
        <f t="shared" si="17"/>
        <v>0</v>
      </c>
      <c r="E159" s="22">
        <f t="shared" si="18"/>
        <v>0</v>
      </c>
    </row>
    <row r="160" spans="1:5" x14ac:dyDescent="0.15">
      <c r="A160" s="14">
        <v>145</v>
      </c>
      <c r="B160" s="22">
        <f t="shared" si="19"/>
        <v>0</v>
      </c>
      <c r="C160" s="22">
        <f t="shared" si="16"/>
        <v>0</v>
      </c>
      <c r="D160" s="22">
        <f t="shared" si="17"/>
        <v>0</v>
      </c>
      <c r="E160" s="22">
        <f t="shared" si="18"/>
        <v>0</v>
      </c>
    </row>
    <row r="161" spans="1:5" x14ac:dyDescent="0.15">
      <c r="A161" s="14">
        <v>146</v>
      </c>
      <c r="B161" s="22">
        <f t="shared" si="19"/>
        <v>0</v>
      </c>
      <c r="C161" s="22">
        <f t="shared" si="16"/>
        <v>0</v>
      </c>
      <c r="D161" s="22">
        <f t="shared" si="17"/>
        <v>0</v>
      </c>
      <c r="E161" s="22">
        <f t="shared" si="18"/>
        <v>0</v>
      </c>
    </row>
    <row r="162" spans="1:5" x14ac:dyDescent="0.15">
      <c r="A162" s="14">
        <v>147</v>
      </c>
      <c r="B162" s="22">
        <f t="shared" si="19"/>
        <v>0</v>
      </c>
      <c r="C162" s="22">
        <f t="shared" si="16"/>
        <v>0</v>
      </c>
      <c r="D162" s="22">
        <f t="shared" si="17"/>
        <v>0</v>
      </c>
      <c r="E162" s="22">
        <f t="shared" si="18"/>
        <v>0</v>
      </c>
    </row>
    <row r="163" spans="1:5" x14ac:dyDescent="0.15">
      <c r="A163" s="14">
        <v>148</v>
      </c>
      <c r="B163" s="22">
        <f t="shared" si="19"/>
        <v>0</v>
      </c>
      <c r="C163" s="22">
        <f t="shared" si="16"/>
        <v>0</v>
      </c>
      <c r="D163" s="22">
        <f t="shared" si="17"/>
        <v>0</v>
      </c>
      <c r="E163" s="22">
        <f t="shared" si="18"/>
        <v>0</v>
      </c>
    </row>
    <row r="164" spans="1:5" x14ac:dyDescent="0.15">
      <c r="A164" s="14">
        <v>149</v>
      </c>
      <c r="B164" s="22">
        <f t="shared" si="19"/>
        <v>0</v>
      </c>
      <c r="C164" s="22">
        <f t="shared" si="16"/>
        <v>0</v>
      </c>
      <c r="D164" s="22">
        <f t="shared" si="17"/>
        <v>0</v>
      </c>
      <c r="E164" s="22">
        <f t="shared" si="18"/>
        <v>0</v>
      </c>
    </row>
    <row r="165" spans="1:5" x14ac:dyDescent="0.15">
      <c r="A165" s="14">
        <v>150</v>
      </c>
      <c r="B165" s="22">
        <f t="shared" si="19"/>
        <v>0</v>
      </c>
      <c r="C165" s="22">
        <f t="shared" si="16"/>
        <v>0</v>
      </c>
      <c r="D165" s="22">
        <f t="shared" si="17"/>
        <v>0</v>
      </c>
      <c r="E165" s="22">
        <f t="shared" si="18"/>
        <v>0</v>
      </c>
    </row>
    <row r="166" spans="1:5" x14ac:dyDescent="0.15">
      <c r="A166" s="14">
        <v>151</v>
      </c>
      <c r="B166" s="22">
        <f t="shared" si="19"/>
        <v>0</v>
      </c>
      <c r="C166" s="22">
        <f t="shared" si="16"/>
        <v>0</v>
      </c>
      <c r="D166" s="22">
        <f t="shared" si="17"/>
        <v>0</v>
      </c>
      <c r="E166" s="22">
        <f t="shared" si="18"/>
        <v>0</v>
      </c>
    </row>
    <row r="167" spans="1:5" x14ac:dyDescent="0.15">
      <c r="A167" s="14">
        <v>152</v>
      </c>
      <c r="B167" s="22">
        <f t="shared" si="19"/>
        <v>0</v>
      </c>
      <c r="C167" s="22">
        <f t="shared" si="16"/>
        <v>0</v>
      </c>
      <c r="D167" s="22">
        <f t="shared" si="17"/>
        <v>0</v>
      </c>
      <c r="E167" s="22">
        <f t="shared" si="18"/>
        <v>0</v>
      </c>
    </row>
    <row r="168" spans="1:5" x14ac:dyDescent="0.15">
      <c r="A168" s="14">
        <v>153</v>
      </c>
      <c r="B168" s="22">
        <f t="shared" si="19"/>
        <v>0</v>
      </c>
      <c r="C168" s="22">
        <f t="shared" si="16"/>
        <v>0</v>
      </c>
      <c r="D168" s="22">
        <f t="shared" si="17"/>
        <v>0</v>
      </c>
      <c r="E168" s="22">
        <f t="shared" si="18"/>
        <v>0</v>
      </c>
    </row>
    <row r="169" spans="1:5" x14ac:dyDescent="0.15">
      <c r="A169" s="14">
        <v>154</v>
      </c>
      <c r="B169" s="22">
        <f t="shared" si="19"/>
        <v>0</v>
      </c>
      <c r="C169" s="22">
        <f t="shared" si="16"/>
        <v>0</v>
      </c>
      <c r="D169" s="22">
        <f t="shared" si="17"/>
        <v>0</v>
      </c>
      <c r="E169" s="22">
        <f t="shared" si="18"/>
        <v>0</v>
      </c>
    </row>
    <row r="170" spans="1:5" x14ac:dyDescent="0.15">
      <c r="A170" s="14">
        <v>155</v>
      </c>
      <c r="B170" s="22">
        <f t="shared" si="19"/>
        <v>0</v>
      </c>
      <c r="C170" s="22">
        <f t="shared" si="16"/>
        <v>0</v>
      </c>
      <c r="D170" s="22">
        <f t="shared" si="17"/>
        <v>0</v>
      </c>
      <c r="E170" s="22">
        <f t="shared" si="18"/>
        <v>0</v>
      </c>
    </row>
    <row r="171" spans="1:5" x14ac:dyDescent="0.15">
      <c r="A171" s="14">
        <v>156</v>
      </c>
      <c r="B171" s="22">
        <f t="shared" si="19"/>
        <v>0</v>
      </c>
      <c r="C171" s="22">
        <f t="shared" si="16"/>
        <v>0</v>
      </c>
      <c r="D171" s="22">
        <f t="shared" si="17"/>
        <v>0</v>
      </c>
      <c r="E171" s="22">
        <f t="shared" si="18"/>
        <v>0</v>
      </c>
    </row>
    <row r="172" spans="1:5" x14ac:dyDescent="0.15">
      <c r="A172" s="14">
        <v>157</v>
      </c>
      <c r="B172" s="22">
        <f t="shared" si="19"/>
        <v>0</v>
      </c>
      <c r="C172" s="22">
        <f t="shared" si="16"/>
        <v>0</v>
      </c>
      <c r="D172" s="22">
        <f t="shared" si="17"/>
        <v>0</v>
      </c>
      <c r="E172" s="22">
        <f t="shared" si="18"/>
        <v>0</v>
      </c>
    </row>
    <row r="173" spans="1:5" x14ac:dyDescent="0.15">
      <c r="A173" s="14">
        <v>158</v>
      </c>
      <c r="B173" s="22">
        <f t="shared" si="19"/>
        <v>0</v>
      </c>
      <c r="C173" s="22">
        <f t="shared" si="16"/>
        <v>0</v>
      </c>
      <c r="D173" s="22">
        <f t="shared" si="17"/>
        <v>0</v>
      </c>
      <c r="E173" s="22">
        <f t="shared" si="18"/>
        <v>0</v>
      </c>
    </row>
    <row r="174" spans="1:5" x14ac:dyDescent="0.15">
      <c r="A174" s="14">
        <v>159</v>
      </c>
      <c r="B174" s="22">
        <f t="shared" si="19"/>
        <v>0</v>
      </c>
      <c r="C174" s="22">
        <f t="shared" si="16"/>
        <v>0</v>
      </c>
      <c r="D174" s="22">
        <f t="shared" si="17"/>
        <v>0</v>
      </c>
      <c r="E174" s="22">
        <f t="shared" si="18"/>
        <v>0</v>
      </c>
    </row>
    <row r="175" spans="1:5" x14ac:dyDescent="0.15">
      <c r="A175" s="14">
        <v>160</v>
      </c>
      <c r="B175" s="22">
        <f t="shared" si="19"/>
        <v>0</v>
      </c>
      <c r="C175" s="22">
        <f t="shared" si="16"/>
        <v>0</v>
      </c>
      <c r="D175" s="22">
        <f t="shared" si="17"/>
        <v>0</v>
      </c>
      <c r="E175" s="22">
        <f t="shared" si="18"/>
        <v>0</v>
      </c>
    </row>
    <row r="176" spans="1:5" x14ac:dyDescent="0.15">
      <c r="A176" s="14">
        <v>161</v>
      </c>
      <c r="B176" s="22">
        <f t="shared" si="19"/>
        <v>0</v>
      </c>
      <c r="C176" s="22">
        <f t="shared" ref="C176:C207" si="20">B176*$B$8</f>
        <v>0</v>
      </c>
      <c r="D176" s="22">
        <f t="shared" ref="D176:D207" si="21">MIN($B$7,B176+C176)</f>
        <v>0</v>
      </c>
      <c r="E176" s="22">
        <f t="shared" ref="E176:E207" si="22">B176+C176-D176</f>
        <v>0</v>
      </c>
    </row>
    <row r="177" spans="1:5" x14ac:dyDescent="0.15">
      <c r="A177" s="14">
        <v>162</v>
      </c>
      <c r="B177" s="22">
        <f t="shared" ref="B177:B195" si="23">E176</f>
        <v>0</v>
      </c>
      <c r="C177" s="22">
        <f t="shared" si="20"/>
        <v>0</v>
      </c>
      <c r="D177" s="22">
        <f t="shared" si="21"/>
        <v>0</v>
      </c>
      <c r="E177" s="22">
        <f t="shared" si="22"/>
        <v>0</v>
      </c>
    </row>
    <row r="178" spans="1:5" x14ac:dyDescent="0.15">
      <c r="A178" s="14">
        <v>163</v>
      </c>
      <c r="B178" s="22">
        <f t="shared" si="23"/>
        <v>0</v>
      </c>
      <c r="C178" s="22">
        <f t="shared" si="20"/>
        <v>0</v>
      </c>
      <c r="D178" s="22">
        <f t="shared" si="21"/>
        <v>0</v>
      </c>
      <c r="E178" s="22">
        <f t="shared" si="22"/>
        <v>0</v>
      </c>
    </row>
    <row r="179" spans="1:5" x14ac:dyDescent="0.15">
      <c r="A179" s="14">
        <v>164</v>
      </c>
      <c r="B179" s="22">
        <f t="shared" si="23"/>
        <v>0</v>
      </c>
      <c r="C179" s="22">
        <f t="shared" si="20"/>
        <v>0</v>
      </c>
      <c r="D179" s="22">
        <f t="shared" si="21"/>
        <v>0</v>
      </c>
      <c r="E179" s="22">
        <f t="shared" si="22"/>
        <v>0</v>
      </c>
    </row>
    <row r="180" spans="1:5" x14ac:dyDescent="0.15">
      <c r="A180" s="14">
        <v>165</v>
      </c>
      <c r="B180" s="22">
        <f t="shared" si="23"/>
        <v>0</v>
      </c>
      <c r="C180" s="22">
        <f t="shared" si="20"/>
        <v>0</v>
      </c>
      <c r="D180" s="22">
        <f t="shared" si="21"/>
        <v>0</v>
      </c>
      <c r="E180" s="22">
        <f t="shared" si="22"/>
        <v>0</v>
      </c>
    </row>
    <row r="181" spans="1:5" x14ac:dyDescent="0.15">
      <c r="A181" s="14">
        <v>166</v>
      </c>
      <c r="B181" s="22">
        <f t="shared" si="23"/>
        <v>0</v>
      </c>
      <c r="C181" s="22">
        <f t="shared" si="20"/>
        <v>0</v>
      </c>
      <c r="D181" s="22">
        <f t="shared" si="21"/>
        <v>0</v>
      </c>
      <c r="E181" s="22">
        <f t="shared" si="22"/>
        <v>0</v>
      </c>
    </row>
    <row r="182" spans="1:5" x14ac:dyDescent="0.15">
      <c r="A182" s="14">
        <v>167</v>
      </c>
      <c r="B182" s="22">
        <f t="shared" si="23"/>
        <v>0</v>
      </c>
      <c r="C182" s="22">
        <f t="shared" si="20"/>
        <v>0</v>
      </c>
      <c r="D182" s="22">
        <f t="shared" si="21"/>
        <v>0</v>
      </c>
      <c r="E182" s="22">
        <f t="shared" si="22"/>
        <v>0</v>
      </c>
    </row>
    <row r="183" spans="1:5" x14ac:dyDescent="0.15">
      <c r="A183" s="14">
        <v>168</v>
      </c>
      <c r="B183" s="22">
        <f t="shared" si="23"/>
        <v>0</v>
      </c>
      <c r="C183" s="22">
        <f t="shared" si="20"/>
        <v>0</v>
      </c>
      <c r="D183" s="22">
        <f t="shared" si="21"/>
        <v>0</v>
      </c>
      <c r="E183" s="22">
        <f t="shared" si="22"/>
        <v>0</v>
      </c>
    </row>
    <row r="184" spans="1:5" x14ac:dyDescent="0.15">
      <c r="A184" s="14">
        <v>169</v>
      </c>
      <c r="B184" s="22">
        <f t="shared" si="23"/>
        <v>0</v>
      </c>
      <c r="C184" s="22">
        <f t="shared" si="20"/>
        <v>0</v>
      </c>
      <c r="D184" s="22">
        <f t="shared" si="21"/>
        <v>0</v>
      </c>
      <c r="E184" s="22">
        <f t="shared" si="22"/>
        <v>0</v>
      </c>
    </row>
    <row r="185" spans="1:5" x14ac:dyDescent="0.15">
      <c r="A185" s="14">
        <v>170</v>
      </c>
      <c r="B185" s="22">
        <f t="shared" si="23"/>
        <v>0</v>
      </c>
      <c r="C185" s="22">
        <f t="shared" si="20"/>
        <v>0</v>
      </c>
      <c r="D185" s="22">
        <f t="shared" si="21"/>
        <v>0</v>
      </c>
      <c r="E185" s="22">
        <f t="shared" si="22"/>
        <v>0</v>
      </c>
    </row>
    <row r="186" spans="1:5" x14ac:dyDescent="0.15">
      <c r="A186" s="14">
        <v>171</v>
      </c>
      <c r="B186" s="22">
        <f t="shared" si="23"/>
        <v>0</v>
      </c>
      <c r="C186" s="22">
        <f t="shared" si="20"/>
        <v>0</v>
      </c>
      <c r="D186" s="22">
        <f t="shared" si="21"/>
        <v>0</v>
      </c>
      <c r="E186" s="22">
        <f t="shared" si="22"/>
        <v>0</v>
      </c>
    </row>
    <row r="187" spans="1:5" x14ac:dyDescent="0.15">
      <c r="A187" s="14">
        <v>172</v>
      </c>
      <c r="B187" s="22">
        <f t="shared" si="23"/>
        <v>0</v>
      </c>
      <c r="C187" s="22">
        <f t="shared" si="20"/>
        <v>0</v>
      </c>
      <c r="D187" s="22">
        <f t="shared" si="21"/>
        <v>0</v>
      </c>
      <c r="E187" s="22">
        <f t="shared" si="22"/>
        <v>0</v>
      </c>
    </row>
    <row r="188" spans="1:5" x14ac:dyDescent="0.15">
      <c r="A188" s="14">
        <v>173</v>
      </c>
      <c r="B188" s="22">
        <f t="shared" si="23"/>
        <v>0</v>
      </c>
      <c r="C188" s="22">
        <f t="shared" si="20"/>
        <v>0</v>
      </c>
      <c r="D188" s="22">
        <f t="shared" si="21"/>
        <v>0</v>
      </c>
      <c r="E188" s="22">
        <f t="shared" si="22"/>
        <v>0</v>
      </c>
    </row>
    <row r="189" spans="1:5" x14ac:dyDescent="0.15">
      <c r="A189" s="14">
        <v>174</v>
      </c>
      <c r="B189" s="22">
        <f t="shared" si="23"/>
        <v>0</v>
      </c>
      <c r="C189" s="22">
        <f t="shared" si="20"/>
        <v>0</v>
      </c>
      <c r="D189" s="22">
        <f t="shared" si="21"/>
        <v>0</v>
      </c>
      <c r="E189" s="22">
        <f t="shared" si="22"/>
        <v>0</v>
      </c>
    </row>
    <row r="190" spans="1:5" x14ac:dyDescent="0.15">
      <c r="A190" s="14">
        <v>175</v>
      </c>
      <c r="B190" s="22">
        <f t="shared" si="23"/>
        <v>0</v>
      </c>
      <c r="C190" s="22">
        <f t="shared" si="20"/>
        <v>0</v>
      </c>
      <c r="D190" s="22">
        <f t="shared" si="21"/>
        <v>0</v>
      </c>
      <c r="E190" s="22">
        <f t="shared" si="22"/>
        <v>0</v>
      </c>
    </row>
    <row r="191" spans="1:5" x14ac:dyDescent="0.15">
      <c r="A191" s="14">
        <v>176</v>
      </c>
      <c r="B191" s="22">
        <f t="shared" si="23"/>
        <v>0</v>
      </c>
      <c r="C191" s="22">
        <f t="shared" si="20"/>
        <v>0</v>
      </c>
      <c r="D191" s="22">
        <f t="shared" si="21"/>
        <v>0</v>
      </c>
      <c r="E191" s="22">
        <f t="shared" si="22"/>
        <v>0</v>
      </c>
    </row>
    <row r="192" spans="1:5" x14ac:dyDescent="0.15">
      <c r="A192" s="14">
        <v>177</v>
      </c>
      <c r="B192" s="22">
        <f t="shared" si="23"/>
        <v>0</v>
      </c>
      <c r="C192" s="22">
        <f t="shared" si="20"/>
        <v>0</v>
      </c>
      <c r="D192" s="22">
        <f t="shared" si="21"/>
        <v>0</v>
      </c>
      <c r="E192" s="22">
        <f t="shared" si="22"/>
        <v>0</v>
      </c>
    </row>
    <row r="193" spans="1:5" x14ac:dyDescent="0.15">
      <c r="A193" s="14">
        <v>178</v>
      </c>
      <c r="B193" s="22">
        <f t="shared" si="23"/>
        <v>0</v>
      </c>
      <c r="C193" s="22">
        <f t="shared" si="20"/>
        <v>0</v>
      </c>
      <c r="D193" s="22">
        <f t="shared" si="21"/>
        <v>0</v>
      </c>
      <c r="E193" s="22">
        <f t="shared" si="22"/>
        <v>0</v>
      </c>
    </row>
    <row r="194" spans="1:5" x14ac:dyDescent="0.15">
      <c r="A194" s="14">
        <v>179</v>
      </c>
      <c r="B194" s="22">
        <f t="shared" si="23"/>
        <v>0</v>
      </c>
      <c r="C194" s="22">
        <f t="shared" si="20"/>
        <v>0</v>
      </c>
      <c r="D194" s="22">
        <f t="shared" si="21"/>
        <v>0</v>
      </c>
      <c r="E194" s="22">
        <f t="shared" si="22"/>
        <v>0</v>
      </c>
    </row>
    <row r="195" spans="1:5" x14ac:dyDescent="0.15">
      <c r="A195" s="14">
        <v>180</v>
      </c>
      <c r="B195" s="22">
        <f t="shared" si="23"/>
        <v>0</v>
      </c>
      <c r="C195" s="22">
        <f t="shared" si="20"/>
        <v>0</v>
      </c>
      <c r="D195" s="22">
        <f t="shared" si="21"/>
        <v>0</v>
      </c>
      <c r="E195" s="22">
        <f t="shared" si="22"/>
        <v>0</v>
      </c>
    </row>
  </sheetData>
  <mergeCells count="21">
    <mergeCell ref="G56:N58"/>
    <mergeCell ref="G40:N42"/>
    <mergeCell ref="G43:N45"/>
    <mergeCell ref="G47:N49"/>
    <mergeCell ref="G50:N52"/>
    <mergeCell ref="G54:N55"/>
    <mergeCell ref="G24:N26"/>
    <mergeCell ref="G28:N29"/>
    <mergeCell ref="G30:N32"/>
    <mergeCell ref="G34:N35"/>
    <mergeCell ref="G36:N38"/>
    <mergeCell ref="G12:N13"/>
    <mergeCell ref="G14:N14"/>
    <mergeCell ref="G17:N17"/>
    <mergeCell ref="G18:N20"/>
    <mergeCell ref="G22:N23"/>
    <mergeCell ref="A1:N1"/>
    <mergeCell ref="A2:N2"/>
    <mergeCell ref="G5:N6"/>
    <mergeCell ref="G7:N9"/>
    <mergeCell ref="G10:N11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66"/>
  <sheetViews>
    <sheetView showGridLines="0" zoomScaleNormal="100" workbookViewId="0">
      <selection sqref="A1:T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7" width="34" customWidth="1"/>
    <col min="8" max="11" width="17" customWidth="1"/>
    <col min="12" max="12" width="3" customWidth="1"/>
    <col min="13" max="20" width="13" customWidth="1"/>
    <col min="21" max="21" width="3" customWidth="1"/>
  </cols>
  <sheetData>
    <row r="1" spans="1:20" ht="31.5" customHeight="1" x14ac:dyDescent="0.15">
      <c r="A1" s="5" t="s">
        <v>148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1.5" customHeight="1" x14ac:dyDescent="0.15">
      <c r="A2" s="4" t="s">
        <v>149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spans="1:20" ht="14" x14ac:dyDescent="0.15">
      <c r="A4" s="8" t="s">
        <v>150</v>
      </c>
      <c r="G4" s="8" t="s">
        <v>151</v>
      </c>
      <c r="M4" s="8" t="s">
        <v>36</v>
      </c>
    </row>
    <row r="5" spans="1:20" ht="15" customHeight="1" x14ac:dyDescent="0.15">
      <c r="A5" s="3" t="s">
        <v>152</v>
      </c>
      <c r="B5" s="3"/>
      <c r="C5" s="3"/>
      <c r="D5" s="3"/>
      <c r="E5" s="3"/>
      <c r="G5" s="3" t="s">
        <v>153</v>
      </c>
      <c r="H5" s="3"/>
      <c r="I5" s="3"/>
      <c r="J5" s="3"/>
      <c r="K5" s="3"/>
      <c r="M5" s="3" t="s">
        <v>154</v>
      </c>
      <c r="N5" s="3"/>
      <c r="O5" s="3"/>
      <c r="P5" s="3"/>
      <c r="Q5" s="3"/>
      <c r="R5" s="3"/>
      <c r="S5" s="3"/>
      <c r="T5" s="3"/>
    </row>
    <row r="6" spans="1:20" x14ac:dyDescent="0.15">
      <c r="A6" s="3"/>
      <c r="B6" s="3"/>
      <c r="C6" s="3"/>
      <c r="D6" s="3"/>
      <c r="E6" s="3"/>
      <c r="G6" s="3"/>
      <c r="H6" s="3"/>
      <c r="I6" s="3"/>
      <c r="J6" s="3"/>
      <c r="K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15">
      <c r="M7" s="3" t="s">
        <v>155</v>
      </c>
      <c r="N7" s="3"/>
      <c r="O7" s="3"/>
      <c r="P7" s="3"/>
      <c r="Q7" s="3"/>
      <c r="R7" s="3"/>
      <c r="S7" s="3"/>
      <c r="T7" s="3"/>
    </row>
    <row r="8" spans="1:20" x14ac:dyDescent="0.15">
      <c r="A8" t="s">
        <v>117</v>
      </c>
      <c r="B8" s="10">
        <v>95000</v>
      </c>
      <c r="G8" t="s">
        <v>117</v>
      </c>
      <c r="H8" s="10">
        <v>60000</v>
      </c>
      <c r="M8" s="3"/>
      <c r="N8" s="3"/>
      <c r="O8" s="3"/>
      <c r="P8" s="3"/>
      <c r="Q8" s="3"/>
      <c r="R8" s="3"/>
      <c r="S8" s="3"/>
      <c r="T8" s="3"/>
    </row>
    <row r="9" spans="1:20" ht="15" customHeight="1" x14ac:dyDescent="0.15">
      <c r="A9" t="s">
        <v>65</v>
      </c>
      <c r="B9" s="13">
        <v>7.1999999999999995E-2</v>
      </c>
      <c r="G9" t="s">
        <v>65</v>
      </c>
      <c r="H9" s="13">
        <v>8.4000000000000005E-2</v>
      </c>
      <c r="M9" s="3" t="s">
        <v>156</v>
      </c>
      <c r="N9" s="3"/>
      <c r="O9" s="3"/>
      <c r="P9" s="3"/>
      <c r="Q9" s="3"/>
      <c r="R9" s="3"/>
      <c r="S9" s="3"/>
      <c r="T9" s="3"/>
    </row>
    <row r="10" spans="1:20" x14ac:dyDescent="0.15">
      <c r="A10" t="s">
        <v>157</v>
      </c>
      <c r="B10" s="17">
        <v>4</v>
      </c>
      <c r="G10" t="s">
        <v>157</v>
      </c>
      <c r="H10" s="17">
        <v>12</v>
      </c>
      <c r="M10" s="3"/>
      <c r="N10" s="3"/>
      <c r="O10" s="3"/>
      <c r="P10" s="3"/>
      <c r="Q10" s="3"/>
      <c r="R10" s="3"/>
      <c r="S10" s="3"/>
      <c r="T10" s="3"/>
    </row>
    <row r="11" spans="1:20" ht="15" customHeight="1" x14ac:dyDescent="0.15">
      <c r="A11" t="s">
        <v>158</v>
      </c>
      <c r="B11" s="17">
        <v>6</v>
      </c>
      <c r="G11" t="s">
        <v>158</v>
      </c>
      <c r="H11" s="17">
        <v>4</v>
      </c>
      <c r="M11" s="3" t="s">
        <v>159</v>
      </c>
      <c r="N11" s="3"/>
      <c r="O11" s="3"/>
      <c r="P11" s="3"/>
      <c r="Q11" s="3"/>
      <c r="R11" s="3"/>
      <c r="S11" s="3"/>
      <c r="T11" s="3"/>
    </row>
    <row r="12" spans="1:20" ht="15" customHeight="1" x14ac:dyDescent="0.15">
      <c r="A12" t="s">
        <v>160</v>
      </c>
      <c r="B12" s="23">
        <f>B9/B10</f>
        <v>1.7999999999999999E-2</v>
      </c>
      <c r="G12" t="s">
        <v>160</v>
      </c>
      <c r="H12" s="23">
        <f>H9/H10</f>
        <v>7.0000000000000001E-3</v>
      </c>
      <c r="M12" s="2" t="s">
        <v>161</v>
      </c>
      <c r="N12" s="2"/>
      <c r="O12" s="2"/>
      <c r="P12" s="2"/>
      <c r="Q12" s="2"/>
      <c r="R12" s="2"/>
      <c r="S12" s="2"/>
      <c r="T12" s="2"/>
    </row>
    <row r="13" spans="1:20" x14ac:dyDescent="0.15">
      <c r="A13" t="s">
        <v>162</v>
      </c>
      <c r="B13" s="20">
        <f>B10*B11</f>
        <v>24</v>
      </c>
      <c r="G13" t="s">
        <v>162</v>
      </c>
      <c r="H13" s="20">
        <f>H10*H11</f>
        <v>48</v>
      </c>
    </row>
    <row r="14" spans="1:20" ht="14" x14ac:dyDescent="0.15">
      <c r="A14" t="s">
        <v>163</v>
      </c>
      <c r="B14" s="16">
        <f>-PMT(B12,B13,B8)</f>
        <v>4909.6793264358475</v>
      </c>
      <c r="G14" t="s">
        <v>163</v>
      </c>
      <c r="H14" s="16">
        <f>-PMT(H12,H13,H8)</f>
        <v>1476.0671058237717</v>
      </c>
      <c r="M14" s="8" t="s">
        <v>49</v>
      </c>
    </row>
    <row r="15" spans="1:20" ht="15" customHeight="1" x14ac:dyDescent="0.15">
      <c r="A15" t="s">
        <v>125</v>
      </c>
      <c r="B15" s="16">
        <f>SUM(D19:D42)</f>
        <v>117832.3038344603</v>
      </c>
      <c r="G15" t="s">
        <v>125</v>
      </c>
      <c r="H15" s="16">
        <f>SUM(J19:J66)</f>
        <v>70851.22107954105</v>
      </c>
      <c r="M15" s="2" t="s">
        <v>164</v>
      </c>
      <c r="N15" s="2"/>
      <c r="O15" s="2"/>
      <c r="P15" s="2"/>
      <c r="Q15" s="2"/>
      <c r="R15" s="2"/>
      <c r="S15" s="2"/>
      <c r="T15" s="2"/>
    </row>
    <row r="16" spans="1:20" ht="15" customHeight="1" x14ac:dyDescent="0.15">
      <c r="A16" t="s">
        <v>127</v>
      </c>
      <c r="B16" s="16">
        <f>SUM(C19:C42)</f>
        <v>22832.303834460374</v>
      </c>
      <c r="G16" t="s">
        <v>127</v>
      </c>
      <c r="H16" s="16">
        <f>SUM(I19:I66)</f>
        <v>10851.221079541036</v>
      </c>
      <c r="M16" s="1" t="s">
        <v>165</v>
      </c>
      <c r="N16" s="1"/>
      <c r="O16" s="1"/>
      <c r="P16" s="1"/>
      <c r="Q16" s="1"/>
      <c r="R16" s="1"/>
      <c r="S16" s="1"/>
      <c r="T16" s="1"/>
    </row>
    <row r="17" spans="1:20" x14ac:dyDescent="0.15">
      <c r="M17" s="1"/>
      <c r="N17" s="1"/>
      <c r="O17" s="1"/>
      <c r="P17" s="1"/>
      <c r="Q17" s="1"/>
      <c r="R17" s="1"/>
      <c r="S17" s="1"/>
      <c r="T17" s="1"/>
    </row>
    <row r="18" spans="1:20" ht="31.5" customHeight="1" x14ac:dyDescent="0.15">
      <c r="A18" s="11" t="s">
        <v>166</v>
      </c>
      <c r="B18" s="11" t="s">
        <v>130</v>
      </c>
      <c r="C18" s="11" t="s">
        <v>131</v>
      </c>
      <c r="D18" s="11" t="s">
        <v>132</v>
      </c>
      <c r="E18" s="11" t="s">
        <v>133</v>
      </c>
      <c r="G18" s="11" t="s">
        <v>129</v>
      </c>
      <c r="H18" s="11" t="s">
        <v>130</v>
      </c>
      <c r="I18" s="11" t="s">
        <v>131</v>
      </c>
      <c r="J18" s="11" t="s">
        <v>132</v>
      </c>
      <c r="K18" s="11" t="s">
        <v>133</v>
      </c>
      <c r="M18" s="1"/>
      <c r="N18" s="1"/>
      <c r="O18" s="1"/>
      <c r="P18" s="1"/>
      <c r="Q18" s="1"/>
      <c r="R18" s="1"/>
      <c r="S18" s="1"/>
      <c r="T18" s="1"/>
    </row>
    <row r="19" spans="1:20" x14ac:dyDescent="0.15">
      <c r="A19" s="14">
        <v>1</v>
      </c>
      <c r="B19" s="16">
        <f>$B$8</f>
        <v>95000</v>
      </c>
      <c r="C19" s="16">
        <f t="shared" ref="C19:C42" si="0">B19*$B$12</f>
        <v>1709.9999999999998</v>
      </c>
      <c r="D19" s="16">
        <f t="shared" ref="D19:D42" si="1">$B$14</f>
        <v>4909.6793264358475</v>
      </c>
      <c r="E19" s="16">
        <f t="shared" ref="E19:E42" si="2">B19+C19-D19</f>
        <v>91800.320673564158</v>
      </c>
      <c r="G19" s="14">
        <v>1</v>
      </c>
      <c r="H19" s="16">
        <f>$H$8</f>
        <v>60000</v>
      </c>
      <c r="I19" s="16">
        <f t="shared" ref="I19:I66" si="3">H19*$H$12</f>
        <v>420</v>
      </c>
      <c r="J19" s="16">
        <f t="shared" ref="J19:J66" si="4">$H$14</f>
        <v>1476.0671058237717</v>
      </c>
      <c r="K19" s="16">
        <f t="shared" ref="K19:K66" si="5">H19+I19-J19</f>
        <v>58943.932894176229</v>
      </c>
    </row>
    <row r="20" spans="1:20" ht="15" customHeight="1" x14ac:dyDescent="0.15">
      <c r="A20" s="14">
        <v>2</v>
      </c>
      <c r="B20" s="16">
        <f t="shared" ref="B20:B42" si="6">E19</f>
        <v>91800.320673564158</v>
      </c>
      <c r="C20" s="16">
        <f t="shared" si="0"/>
        <v>1652.4057721241547</v>
      </c>
      <c r="D20" s="16">
        <f t="shared" si="1"/>
        <v>4909.6793264358475</v>
      </c>
      <c r="E20" s="16">
        <f t="shared" si="2"/>
        <v>88543.047119252471</v>
      </c>
      <c r="G20" s="14">
        <v>2</v>
      </c>
      <c r="H20" s="16">
        <f t="shared" ref="H20:H66" si="7">K19</f>
        <v>58943.932894176229</v>
      </c>
      <c r="I20" s="16">
        <f t="shared" si="3"/>
        <v>412.60753025923361</v>
      </c>
      <c r="J20" s="16">
        <f t="shared" si="4"/>
        <v>1476.0671058237717</v>
      </c>
      <c r="K20" s="16">
        <f t="shared" si="5"/>
        <v>57880.473318611694</v>
      </c>
      <c r="M20" s="2" t="s">
        <v>167</v>
      </c>
      <c r="N20" s="2"/>
      <c r="O20" s="2"/>
      <c r="P20" s="2"/>
      <c r="Q20" s="2"/>
      <c r="R20" s="2"/>
      <c r="S20" s="2"/>
      <c r="T20" s="2"/>
    </row>
    <row r="21" spans="1:20" x14ac:dyDescent="0.15">
      <c r="A21" s="14">
        <v>3</v>
      </c>
      <c r="B21" s="16">
        <f t="shared" si="6"/>
        <v>88543.047119252471</v>
      </c>
      <c r="C21" s="16">
        <f t="shared" si="0"/>
        <v>1593.7748481465444</v>
      </c>
      <c r="D21" s="16">
        <f t="shared" si="1"/>
        <v>4909.6793264358475</v>
      </c>
      <c r="E21" s="16">
        <f t="shared" si="2"/>
        <v>85227.142640963168</v>
      </c>
      <c r="G21" s="14">
        <v>3</v>
      </c>
      <c r="H21" s="16">
        <f t="shared" si="7"/>
        <v>57880.473318611694</v>
      </c>
      <c r="I21" s="16">
        <f t="shared" si="3"/>
        <v>405.16331323028186</v>
      </c>
      <c r="J21" s="16">
        <f t="shared" si="4"/>
        <v>1476.0671058237717</v>
      </c>
      <c r="K21" s="16">
        <f t="shared" si="5"/>
        <v>56809.569526018204</v>
      </c>
      <c r="M21" s="2"/>
      <c r="N21" s="2"/>
      <c r="O21" s="2"/>
      <c r="P21" s="2"/>
      <c r="Q21" s="2"/>
      <c r="R21" s="2"/>
      <c r="S21" s="2"/>
      <c r="T21" s="2"/>
    </row>
    <row r="22" spans="1:20" ht="15" customHeight="1" x14ac:dyDescent="0.15">
      <c r="A22" s="14">
        <v>4</v>
      </c>
      <c r="B22" s="16">
        <f t="shared" si="6"/>
        <v>85227.142640963168</v>
      </c>
      <c r="C22" s="16">
        <f t="shared" si="0"/>
        <v>1534.088567537337</v>
      </c>
      <c r="D22" s="16">
        <f t="shared" si="1"/>
        <v>4909.6793264358475</v>
      </c>
      <c r="E22" s="16">
        <f t="shared" si="2"/>
        <v>81851.551882064668</v>
      </c>
      <c r="G22" s="14">
        <v>4</v>
      </c>
      <c r="H22" s="16">
        <f t="shared" si="7"/>
        <v>56809.569526018204</v>
      </c>
      <c r="I22" s="16">
        <f t="shared" si="3"/>
        <v>397.66698668212746</v>
      </c>
      <c r="J22" s="16">
        <f t="shared" si="4"/>
        <v>1476.0671058237717</v>
      </c>
      <c r="K22" s="16">
        <f t="shared" si="5"/>
        <v>55731.169406876557</v>
      </c>
      <c r="M22" s="1" t="s">
        <v>168</v>
      </c>
      <c r="N22" s="1"/>
      <c r="O22" s="1"/>
      <c r="P22" s="1"/>
      <c r="Q22" s="1"/>
      <c r="R22" s="1"/>
      <c r="S22" s="1"/>
      <c r="T22" s="1"/>
    </row>
    <row r="23" spans="1:20" x14ac:dyDescent="0.15">
      <c r="A23" s="14">
        <v>5</v>
      </c>
      <c r="B23" s="16">
        <f t="shared" si="6"/>
        <v>81851.551882064668</v>
      </c>
      <c r="C23" s="16">
        <f t="shared" si="0"/>
        <v>1473.327933877164</v>
      </c>
      <c r="D23" s="16">
        <f t="shared" si="1"/>
        <v>4909.6793264358475</v>
      </c>
      <c r="E23" s="16">
        <f t="shared" si="2"/>
        <v>78415.200489505994</v>
      </c>
      <c r="G23" s="14">
        <v>5</v>
      </c>
      <c r="H23" s="16">
        <f t="shared" si="7"/>
        <v>55731.169406876557</v>
      </c>
      <c r="I23" s="16">
        <f t="shared" si="3"/>
        <v>390.11818584813591</v>
      </c>
      <c r="J23" s="16">
        <f t="shared" si="4"/>
        <v>1476.0671058237717</v>
      </c>
      <c r="K23" s="16">
        <f t="shared" si="5"/>
        <v>54645.220486900922</v>
      </c>
      <c r="M23" s="1"/>
      <c r="N23" s="1"/>
      <c r="O23" s="1"/>
      <c r="P23" s="1"/>
      <c r="Q23" s="1"/>
      <c r="R23" s="1"/>
      <c r="S23" s="1"/>
      <c r="T23" s="1"/>
    </row>
    <row r="24" spans="1:20" x14ac:dyDescent="0.15">
      <c r="A24" s="14">
        <v>6</v>
      </c>
      <c r="B24" s="16">
        <f t="shared" si="6"/>
        <v>78415.200489505994</v>
      </c>
      <c r="C24" s="16">
        <f t="shared" si="0"/>
        <v>1411.4736088111079</v>
      </c>
      <c r="D24" s="16">
        <f t="shared" si="1"/>
        <v>4909.6793264358475</v>
      </c>
      <c r="E24" s="16">
        <f t="shared" si="2"/>
        <v>74916.994771881262</v>
      </c>
      <c r="G24" s="14">
        <v>6</v>
      </c>
      <c r="H24" s="16">
        <f t="shared" si="7"/>
        <v>54645.220486900922</v>
      </c>
      <c r="I24" s="16">
        <f t="shared" si="3"/>
        <v>382.51654340830646</v>
      </c>
      <c r="J24" s="16">
        <f t="shared" si="4"/>
        <v>1476.0671058237717</v>
      </c>
      <c r="K24" s="16">
        <f t="shared" si="5"/>
        <v>53551.669924485461</v>
      </c>
      <c r="M24" s="1"/>
      <c r="N24" s="1"/>
      <c r="O24" s="1"/>
      <c r="P24" s="1"/>
      <c r="Q24" s="1"/>
      <c r="R24" s="1"/>
      <c r="S24" s="1"/>
      <c r="T24" s="1"/>
    </row>
    <row r="25" spans="1:20" x14ac:dyDescent="0.15">
      <c r="A25" s="14">
        <v>7</v>
      </c>
      <c r="B25" s="16">
        <f t="shared" si="6"/>
        <v>74916.994771881262</v>
      </c>
      <c r="C25" s="16">
        <f t="shared" si="0"/>
        <v>1348.5059058938625</v>
      </c>
      <c r="D25" s="16">
        <f t="shared" si="1"/>
        <v>4909.6793264358475</v>
      </c>
      <c r="E25" s="16">
        <f t="shared" si="2"/>
        <v>71355.821351339284</v>
      </c>
      <c r="G25" s="14">
        <v>7</v>
      </c>
      <c r="H25" s="16">
        <f t="shared" si="7"/>
        <v>53551.669924485461</v>
      </c>
      <c r="I25" s="16">
        <f t="shared" si="3"/>
        <v>374.86168947139822</v>
      </c>
      <c r="J25" s="16">
        <f t="shared" si="4"/>
        <v>1476.0671058237717</v>
      </c>
      <c r="K25" s="16">
        <f t="shared" si="5"/>
        <v>52450.464508133089</v>
      </c>
    </row>
    <row r="26" spans="1:20" ht="15" customHeight="1" x14ac:dyDescent="0.15">
      <c r="A26" s="14">
        <v>8</v>
      </c>
      <c r="B26" s="16">
        <f t="shared" si="6"/>
        <v>71355.821351339284</v>
      </c>
      <c r="C26" s="16">
        <f t="shared" si="0"/>
        <v>1284.4047843241069</v>
      </c>
      <c r="D26" s="16">
        <f t="shared" si="1"/>
        <v>4909.6793264358475</v>
      </c>
      <c r="E26" s="16">
        <f t="shared" si="2"/>
        <v>67730.546809227555</v>
      </c>
      <c r="G26" s="14">
        <v>8</v>
      </c>
      <c r="H26" s="16">
        <f t="shared" si="7"/>
        <v>52450.464508133089</v>
      </c>
      <c r="I26" s="16">
        <f t="shared" si="3"/>
        <v>367.15325155693165</v>
      </c>
      <c r="J26" s="16">
        <f t="shared" si="4"/>
        <v>1476.0671058237717</v>
      </c>
      <c r="K26" s="16">
        <f t="shared" si="5"/>
        <v>51341.550653866252</v>
      </c>
      <c r="M26" s="2" t="s">
        <v>169</v>
      </c>
      <c r="N26" s="2"/>
      <c r="O26" s="2"/>
      <c r="P26" s="2"/>
      <c r="Q26" s="2"/>
      <c r="R26" s="2"/>
      <c r="S26" s="2"/>
      <c r="T26" s="2"/>
    </row>
    <row r="27" spans="1:20" x14ac:dyDescent="0.15">
      <c r="A27" s="14">
        <v>9</v>
      </c>
      <c r="B27" s="16">
        <f t="shared" si="6"/>
        <v>67730.546809227555</v>
      </c>
      <c r="C27" s="16">
        <f t="shared" si="0"/>
        <v>1219.1498425660959</v>
      </c>
      <c r="D27" s="16">
        <f t="shared" si="1"/>
        <v>4909.6793264358475</v>
      </c>
      <c r="E27" s="16">
        <f t="shared" si="2"/>
        <v>64040.017325357803</v>
      </c>
      <c r="G27" s="14">
        <v>9</v>
      </c>
      <c r="H27" s="16">
        <f t="shared" si="7"/>
        <v>51341.550653866252</v>
      </c>
      <c r="I27" s="16">
        <f t="shared" si="3"/>
        <v>359.39085457706375</v>
      </c>
      <c r="J27" s="16">
        <f t="shared" si="4"/>
        <v>1476.0671058237717</v>
      </c>
      <c r="K27" s="16">
        <f t="shared" si="5"/>
        <v>50224.874402619542</v>
      </c>
      <c r="M27" s="2"/>
      <c r="N27" s="2"/>
      <c r="O27" s="2"/>
      <c r="P27" s="2"/>
      <c r="Q27" s="2"/>
      <c r="R27" s="2"/>
      <c r="S27" s="2"/>
      <c r="T27" s="2"/>
    </row>
    <row r="28" spans="1:20" ht="15" customHeight="1" x14ac:dyDescent="0.15">
      <c r="A28" s="14">
        <v>10</v>
      </c>
      <c r="B28" s="16">
        <f t="shared" si="6"/>
        <v>64040.017325357803</v>
      </c>
      <c r="C28" s="16">
        <f t="shared" si="0"/>
        <v>1152.7203118564403</v>
      </c>
      <c r="D28" s="16">
        <f t="shared" si="1"/>
        <v>4909.6793264358475</v>
      </c>
      <c r="E28" s="16">
        <f t="shared" si="2"/>
        <v>60283.058310778397</v>
      </c>
      <c r="G28" s="14">
        <v>10</v>
      </c>
      <c r="H28" s="16">
        <f t="shared" si="7"/>
        <v>50224.874402619542</v>
      </c>
      <c r="I28" s="16">
        <f t="shared" si="3"/>
        <v>351.57412081833678</v>
      </c>
      <c r="J28" s="16">
        <f t="shared" si="4"/>
        <v>1476.0671058237717</v>
      </c>
      <c r="K28" s="16">
        <f t="shared" si="5"/>
        <v>49100.38141761411</v>
      </c>
      <c r="M28" s="1" t="s">
        <v>170</v>
      </c>
      <c r="N28" s="1"/>
      <c r="O28" s="1"/>
      <c r="P28" s="1"/>
      <c r="Q28" s="1"/>
      <c r="R28" s="1"/>
      <c r="S28" s="1"/>
      <c r="T28" s="1"/>
    </row>
    <row r="29" spans="1:20" x14ac:dyDescent="0.15">
      <c r="A29" s="14">
        <v>11</v>
      </c>
      <c r="B29" s="16">
        <f t="shared" si="6"/>
        <v>60283.058310778397</v>
      </c>
      <c r="C29" s="16">
        <f t="shared" si="0"/>
        <v>1085.095049594011</v>
      </c>
      <c r="D29" s="16">
        <f t="shared" si="1"/>
        <v>4909.6793264358475</v>
      </c>
      <c r="E29" s="16">
        <f t="shared" si="2"/>
        <v>56458.47403393656</v>
      </c>
      <c r="G29" s="14">
        <v>11</v>
      </c>
      <c r="H29" s="16">
        <f t="shared" si="7"/>
        <v>49100.38141761411</v>
      </c>
      <c r="I29" s="16">
        <f t="shared" si="3"/>
        <v>343.7026699232988</v>
      </c>
      <c r="J29" s="16">
        <f t="shared" si="4"/>
        <v>1476.0671058237717</v>
      </c>
      <c r="K29" s="16">
        <f t="shared" si="5"/>
        <v>47968.016981713634</v>
      </c>
      <c r="M29" s="1"/>
      <c r="N29" s="1"/>
      <c r="O29" s="1"/>
      <c r="P29" s="1"/>
      <c r="Q29" s="1"/>
      <c r="R29" s="1"/>
      <c r="S29" s="1"/>
      <c r="T29" s="1"/>
    </row>
    <row r="30" spans="1:20" x14ac:dyDescent="0.15">
      <c r="A30" s="14">
        <v>12</v>
      </c>
      <c r="B30" s="16">
        <f t="shared" si="6"/>
        <v>56458.47403393656</v>
      </c>
      <c r="C30" s="16">
        <f t="shared" si="0"/>
        <v>1016.252532610858</v>
      </c>
      <c r="D30" s="16">
        <f t="shared" si="1"/>
        <v>4909.6793264358475</v>
      </c>
      <c r="E30" s="16">
        <f t="shared" si="2"/>
        <v>52565.047240111569</v>
      </c>
      <c r="G30" s="14">
        <v>12</v>
      </c>
      <c r="H30" s="16">
        <f t="shared" si="7"/>
        <v>47968.016981713634</v>
      </c>
      <c r="I30" s="16">
        <f t="shared" si="3"/>
        <v>335.77611887199544</v>
      </c>
      <c r="J30" s="16">
        <f t="shared" si="4"/>
        <v>1476.0671058237717</v>
      </c>
      <c r="K30" s="16">
        <f t="shared" si="5"/>
        <v>46827.725994761859</v>
      </c>
      <c r="M30" s="1"/>
      <c r="N30" s="1"/>
      <c r="O30" s="1"/>
      <c r="P30" s="1"/>
      <c r="Q30" s="1"/>
      <c r="R30" s="1"/>
      <c r="S30" s="1"/>
      <c r="T30" s="1"/>
    </row>
    <row r="31" spans="1:20" x14ac:dyDescent="0.15">
      <c r="A31" s="14">
        <v>13</v>
      </c>
      <c r="B31" s="16">
        <f t="shared" si="6"/>
        <v>52565.047240111569</v>
      </c>
      <c r="C31" s="16">
        <f t="shared" si="0"/>
        <v>946.17085032200816</v>
      </c>
      <c r="D31" s="16">
        <f t="shared" si="1"/>
        <v>4909.6793264358475</v>
      </c>
      <c r="E31" s="16">
        <f t="shared" si="2"/>
        <v>48601.538763997727</v>
      </c>
      <c r="G31" s="14">
        <v>13</v>
      </c>
      <c r="H31" s="16">
        <f t="shared" si="7"/>
        <v>46827.725994761859</v>
      </c>
      <c r="I31" s="16">
        <f t="shared" si="3"/>
        <v>327.79408196333304</v>
      </c>
      <c r="J31" s="16">
        <f t="shared" si="4"/>
        <v>1476.0671058237717</v>
      </c>
      <c r="K31" s="16">
        <f t="shared" si="5"/>
        <v>45679.452970901417</v>
      </c>
    </row>
    <row r="32" spans="1:20" ht="15" customHeight="1" x14ac:dyDescent="0.15">
      <c r="A32" s="14">
        <v>14</v>
      </c>
      <c r="B32" s="16">
        <f t="shared" si="6"/>
        <v>48601.538763997727</v>
      </c>
      <c r="C32" s="16">
        <f t="shared" si="0"/>
        <v>874.82769775195902</v>
      </c>
      <c r="D32" s="16">
        <f t="shared" si="1"/>
        <v>4909.6793264358475</v>
      </c>
      <c r="E32" s="16">
        <f t="shared" si="2"/>
        <v>44566.687135313834</v>
      </c>
      <c r="G32" s="14">
        <v>14</v>
      </c>
      <c r="H32" s="16">
        <f t="shared" si="7"/>
        <v>45679.452970901417</v>
      </c>
      <c r="I32" s="16">
        <f t="shared" si="3"/>
        <v>319.7561707963099</v>
      </c>
      <c r="J32" s="16">
        <f t="shared" si="4"/>
        <v>1476.0671058237717</v>
      </c>
      <c r="K32" s="16">
        <f t="shared" si="5"/>
        <v>44523.142035873956</v>
      </c>
      <c r="M32" s="2" t="s">
        <v>171</v>
      </c>
      <c r="N32" s="2"/>
      <c r="O32" s="2"/>
      <c r="P32" s="2"/>
      <c r="Q32" s="2"/>
      <c r="R32" s="2"/>
      <c r="S32" s="2"/>
      <c r="T32" s="2"/>
    </row>
    <row r="33" spans="1:20" x14ac:dyDescent="0.15">
      <c r="A33" s="14">
        <v>15</v>
      </c>
      <c r="B33" s="16">
        <f t="shared" si="6"/>
        <v>44566.687135313834</v>
      </c>
      <c r="C33" s="16">
        <f t="shared" si="0"/>
        <v>802.2003684356489</v>
      </c>
      <c r="D33" s="16">
        <f t="shared" si="1"/>
        <v>4909.6793264358475</v>
      </c>
      <c r="E33" s="16">
        <f t="shared" si="2"/>
        <v>40459.208177313631</v>
      </c>
      <c r="G33" s="14">
        <v>15</v>
      </c>
      <c r="H33" s="16">
        <f t="shared" si="7"/>
        <v>44523.142035873956</v>
      </c>
      <c r="I33" s="16">
        <f t="shared" si="3"/>
        <v>311.66199425111768</v>
      </c>
      <c r="J33" s="16">
        <f t="shared" si="4"/>
        <v>1476.0671058237717</v>
      </c>
      <c r="K33" s="16">
        <f t="shared" si="5"/>
        <v>43358.736924301302</v>
      </c>
      <c r="M33" s="2"/>
      <c r="N33" s="2"/>
      <c r="O33" s="2"/>
      <c r="P33" s="2"/>
      <c r="Q33" s="2"/>
      <c r="R33" s="2"/>
      <c r="S33" s="2"/>
      <c r="T33" s="2"/>
    </row>
    <row r="34" spans="1:20" x14ac:dyDescent="0.15">
      <c r="A34" s="14">
        <v>16</v>
      </c>
      <c r="B34" s="16">
        <f t="shared" si="6"/>
        <v>40459.208177313631</v>
      </c>
      <c r="C34" s="16">
        <f t="shared" si="0"/>
        <v>728.26574719164535</v>
      </c>
      <c r="D34" s="16">
        <f t="shared" si="1"/>
        <v>4909.6793264358475</v>
      </c>
      <c r="E34" s="16">
        <f t="shared" si="2"/>
        <v>36277.794598069428</v>
      </c>
      <c r="G34" s="14">
        <v>16</v>
      </c>
      <c r="H34" s="16">
        <f t="shared" si="7"/>
        <v>43358.736924301302</v>
      </c>
      <c r="I34" s="16">
        <f t="shared" si="3"/>
        <v>303.51115847010914</v>
      </c>
      <c r="J34" s="16">
        <f t="shared" si="4"/>
        <v>1476.0671058237717</v>
      </c>
      <c r="K34" s="16">
        <f t="shared" si="5"/>
        <v>42186.180976947639</v>
      </c>
      <c r="M34" s="2"/>
      <c r="N34" s="2"/>
      <c r="O34" s="2"/>
      <c r="P34" s="2"/>
      <c r="Q34" s="2"/>
      <c r="R34" s="2"/>
      <c r="S34" s="2"/>
      <c r="T34" s="2"/>
    </row>
    <row r="35" spans="1:20" ht="15" customHeight="1" x14ac:dyDescent="0.15">
      <c r="A35" s="14">
        <v>17</v>
      </c>
      <c r="B35" s="16">
        <f t="shared" si="6"/>
        <v>36277.794598069428</v>
      </c>
      <c r="C35" s="16">
        <f t="shared" si="0"/>
        <v>653.00030276524967</v>
      </c>
      <c r="D35" s="16">
        <f t="shared" si="1"/>
        <v>4909.6793264358475</v>
      </c>
      <c r="E35" s="16">
        <f t="shared" si="2"/>
        <v>32021.115574398827</v>
      </c>
      <c r="G35" s="14">
        <v>17</v>
      </c>
      <c r="H35" s="16">
        <f t="shared" si="7"/>
        <v>42186.180976947639</v>
      </c>
      <c r="I35" s="16">
        <f t="shared" si="3"/>
        <v>295.30326683863348</v>
      </c>
      <c r="J35" s="16">
        <f t="shared" si="4"/>
        <v>1476.0671058237717</v>
      </c>
      <c r="K35" s="16">
        <f t="shared" si="5"/>
        <v>41005.417137962504</v>
      </c>
      <c r="M35" s="1" t="s">
        <v>172</v>
      </c>
      <c r="N35" s="1"/>
      <c r="O35" s="1"/>
      <c r="P35" s="1"/>
      <c r="Q35" s="1"/>
      <c r="R35" s="1"/>
      <c r="S35" s="1"/>
      <c r="T35" s="1"/>
    </row>
    <row r="36" spans="1:20" x14ac:dyDescent="0.15">
      <c r="A36" s="14">
        <v>18</v>
      </c>
      <c r="B36" s="16">
        <f t="shared" si="6"/>
        <v>32021.115574398827</v>
      </c>
      <c r="C36" s="16">
        <f t="shared" si="0"/>
        <v>576.3800803391789</v>
      </c>
      <c r="D36" s="16">
        <f t="shared" si="1"/>
        <v>4909.6793264358475</v>
      </c>
      <c r="E36" s="16">
        <f t="shared" si="2"/>
        <v>27687.816328302157</v>
      </c>
      <c r="G36" s="14">
        <v>18</v>
      </c>
      <c r="H36" s="16">
        <f t="shared" si="7"/>
        <v>41005.417137962504</v>
      </c>
      <c r="I36" s="16">
        <f t="shared" si="3"/>
        <v>287.03791996573756</v>
      </c>
      <c r="J36" s="16">
        <f t="shared" si="4"/>
        <v>1476.0671058237717</v>
      </c>
      <c r="K36" s="16">
        <f t="shared" si="5"/>
        <v>39816.387952104473</v>
      </c>
      <c r="M36" s="1"/>
      <c r="N36" s="1"/>
      <c r="O36" s="1"/>
      <c r="P36" s="1"/>
      <c r="Q36" s="1"/>
      <c r="R36" s="1"/>
      <c r="S36" s="1"/>
      <c r="T36" s="1"/>
    </row>
    <row r="37" spans="1:20" x14ac:dyDescent="0.15">
      <c r="A37" s="14">
        <v>19</v>
      </c>
      <c r="B37" s="16">
        <f t="shared" si="6"/>
        <v>27687.816328302157</v>
      </c>
      <c r="C37" s="16">
        <f t="shared" si="0"/>
        <v>498.38069390943878</v>
      </c>
      <c r="D37" s="16">
        <f t="shared" si="1"/>
        <v>4909.6793264358475</v>
      </c>
      <c r="E37" s="16">
        <f t="shared" si="2"/>
        <v>23276.51769577575</v>
      </c>
      <c r="G37" s="14">
        <v>19</v>
      </c>
      <c r="H37" s="16">
        <f t="shared" si="7"/>
        <v>39816.387952104473</v>
      </c>
      <c r="I37" s="16">
        <f t="shared" si="3"/>
        <v>278.71471566473133</v>
      </c>
      <c r="J37" s="16">
        <f t="shared" si="4"/>
        <v>1476.0671058237717</v>
      </c>
      <c r="K37" s="16">
        <f t="shared" si="5"/>
        <v>38619.035561945435</v>
      </c>
      <c r="M37" s="1"/>
      <c r="N37" s="1"/>
      <c r="O37" s="1"/>
      <c r="P37" s="1"/>
      <c r="Q37" s="1"/>
      <c r="R37" s="1"/>
      <c r="S37" s="1"/>
      <c r="T37" s="1"/>
    </row>
    <row r="38" spans="1:20" x14ac:dyDescent="0.15">
      <c r="A38" s="14">
        <v>20</v>
      </c>
      <c r="B38" s="16">
        <f t="shared" si="6"/>
        <v>23276.51769577575</v>
      </c>
      <c r="C38" s="16">
        <f t="shared" si="0"/>
        <v>418.97731852396345</v>
      </c>
      <c r="D38" s="16">
        <f t="shared" si="1"/>
        <v>4909.6793264358475</v>
      </c>
      <c r="E38" s="16">
        <f t="shared" si="2"/>
        <v>18785.815687863869</v>
      </c>
      <c r="G38" s="14">
        <v>20</v>
      </c>
      <c r="H38" s="16">
        <f t="shared" si="7"/>
        <v>38619.035561945435</v>
      </c>
      <c r="I38" s="16">
        <f t="shared" si="3"/>
        <v>270.33324893361805</v>
      </c>
      <c r="J38" s="16">
        <f t="shared" si="4"/>
        <v>1476.0671058237717</v>
      </c>
      <c r="K38" s="16">
        <f t="shared" si="5"/>
        <v>37413.301705055281</v>
      </c>
    </row>
    <row r="39" spans="1:20" ht="15" customHeight="1" x14ac:dyDescent="0.15">
      <c r="A39" s="14">
        <v>21</v>
      </c>
      <c r="B39" s="16">
        <f t="shared" si="6"/>
        <v>18785.815687863869</v>
      </c>
      <c r="C39" s="16">
        <f t="shared" si="0"/>
        <v>338.14468238154961</v>
      </c>
      <c r="D39" s="16">
        <f t="shared" si="1"/>
        <v>4909.6793264358475</v>
      </c>
      <c r="E39" s="16">
        <f t="shared" si="2"/>
        <v>14214.281043809571</v>
      </c>
      <c r="G39" s="14">
        <v>21</v>
      </c>
      <c r="H39" s="16">
        <f t="shared" si="7"/>
        <v>37413.301705055281</v>
      </c>
      <c r="I39" s="16">
        <f t="shared" si="3"/>
        <v>261.89311193538697</v>
      </c>
      <c r="J39" s="16">
        <f t="shared" si="4"/>
        <v>1476.0671058237717</v>
      </c>
      <c r="K39" s="16">
        <f t="shared" si="5"/>
        <v>36199.127711166897</v>
      </c>
      <c r="M39" s="2" t="s">
        <v>173</v>
      </c>
      <c r="N39" s="2"/>
      <c r="O39" s="2"/>
      <c r="P39" s="2"/>
      <c r="Q39" s="2"/>
      <c r="R39" s="2"/>
      <c r="S39" s="2"/>
      <c r="T39" s="2"/>
    </row>
    <row r="40" spans="1:20" x14ac:dyDescent="0.15">
      <c r="A40" s="14">
        <v>22</v>
      </c>
      <c r="B40" s="16">
        <f t="shared" si="6"/>
        <v>14214.281043809571</v>
      </c>
      <c r="C40" s="16">
        <f t="shared" si="0"/>
        <v>255.85705878857226</v>
      </c>
      <c r="D40" s="16">
        <f t="shared" si="1"/>
        <v>4909.6793264358475</v>
      </c>
      <c r="E40" s="16">
        <f t="shared" si="2"/>
        <v>9560.4587761622952</v>
      </c>
      <c r="G40" s="14">
        <v>22</v>
      </c>
      <c r="H40" s="16">
        <f t="shared" si="7"/>
        <v>36199.127711166897</v>
      </c>
      <c r="I40" s="16">
        <f t="shared" si="3"/>
        <v>253.39389397816828</v>
      </c>
      <c r="J40" s="16">
        <f t="shared" si="4"/>
        <v>1476.0671058237717</v>
      </c>
      <c r="K40" s="16">
        <f t="shared" si="5"/>
        <v>34976.454499321291</v>
      </c>
      <c r="M40" s="2"/>
      <c r="N40" s="2"/>
      <c r="O40" s="2"/>
      <c r="P40" s="2"/>
      <c r="Q40" s="2"/>
      <c r="R40" s="2"/>
      <c r="S40" s="2"/>
      <c r="T40" s="2"/>
    </row>
    <row r="41" spans="1:20" x14ac:dyDescent="0.15">
      <c r="A41" s="14">
        <v>23</v>
      </c>
      <c r="B41" s="16">
        <f t="shared" si="6"/>
        <v>9560.4587761622952</v>
      </c>
      <c r="C41" s="16">
        <f t="shared" si="0"/>
        <v>172.08825797092129</v>
      </c>
      <c r="D41" s="16">
        <f t="shared" si="1"/>
        <v>4909.6793264358475</v>
      </c>
      <c r="E41" s="16">
        <f t="shared" si="2"/>
        <v>4822.867707697369</v>
      </c>
      <c r="G41" s="14">
        <v>23</v>
      </c>
      <c r="H41" s="16">
        <f t="shared" si="7"/>
        <v>34976.454499321291</v>
      </c>
      <c r="I41" s="16">
        <f t="shared" si="3"/>
        <v>244.83518149524903</v>
      </c>
      <c r="J41" s="16">
        <f t="shared" si="4"/>
        <v>1476.0671058237717</v>
      </c>
      <c r="K41" s="16">
        <f t="shared" si="5"/>
        <v>33745.222574992767</v>
      </c>
      <c r="M41" s="2"/>
      <c r="N41" s="2"/>
      <c r="O41" s="2"/>
      <c r="P41" s="2"/>
      <c r="Q41" s="2"/>
      <c r="R41" s="2"/>
      <c r="S41" s="2"/>
      <c r="T41" s="2"/>
    </row>
    <row r="42" spans="1:20" ht="15" customHeight="1" x14ac:dyDescent="0.15">
      <c r="A42" s="14">
        <v>24</v>
      </c>
      <c r="B42" s="16">
        <f t="shared" si="6"/>
        <v>4822.867707697369</v>
      </c>
      <c r="C42" s="16">
        <f t="shared" si="0"/>
        <v>86.811618738552639</v>
      </c>
      <c r="D42" s="16">
        <f t="shared" si="1"/>
        <v>4909.6793264358475</v>
      </c>
      <c r="E42" s="16">
        <f t="shared" si="2"/>
        <v>7.4578565545380116E-11</v>
      </c>
      <c r="G42" s="14">
        <v>24</v>
      </c>
      <c r="H42" s="16">
        <f t="shared" si="7"/>
        <v>33745.222574992767</v>
      </c>
      <c r="I42" s="16">
        <f t="shared" si="3"/>
        <v>236.21655802494936</v>
      </c>
      <c r="J42" s="16">
        <f t="shared" si="4"/>
        <v>1476.0671058237717</v>
      </c>
      <c r="K42" s="16">
        <f t="shared" si="5"/>
        <v>32505.372027193946</v>
      </c>
      <c r="M42" s="1" t="s">
        <v>174</v>
      </c>
      <c r="N42" s="1"/>
      <c r="O42" s="1"/>
      <c r="P42" s="1"/>
      <c r="Q42" s="1"/>
      <c r="R42" s="1"/>
      <c r="S42" s="1"/>
      <c r="T42" s="1"/>
    </row>
    <row r="43" spans="1:20" x14ac:dyDescent="0.15">
      <c r="G43" s="14">
        <v>25</v>
      </c>
      <c r="H43" s="16">
        <f t="shared" si="7"/>
        <v>32505.372027193946</v>
      </c>
      <c r="I43" s="16">
        <f t="shared" si="3"/>
        <v>227.53760419035763</v>
      </c>
      <c r="J43" s="16">
        <f t="shared" si="4"/>
        <v>1476.0671058237717</v>
      </c>
      <c r="K43" s="16">
        <f t="shared" si="5"/>
        <v>31256.842525560533</v>
      </c>
      <c r="M43" s="1"/>
      <c r="N43" s="1"/>
      <c r="O43" s="1"/>
      <c r="P43" s="1"/>
      <c r="Q43" s="1"/>
      <c r="R43" s="1"/>
      <c r="S43" s="1"/>
      <c r="T43" s="1"/>
    </row>
    <row r="44" spans="1:20" x14ac:dyDescent="0.15">
      <c r="G44" s="14">
        <v>26</v>
      </c>
      <c r="H44" s="16">
        <f t="shared" si="7"/>
        <v>31256.842525560533</v>
      </c>
      <c r="I44" s="16">
        <f t="shared" si="3"/>
        <v>218.79789767892373</v>
      </c>
      <c r="J44" s="16">
        <f t="shared" si="4"/>
        <v>1476.0671058237717</v>
      </c>
      <c r="K44" s="16">
        <f t="shared" si="5"/>
        <v>29999.573317415685</v>
      </c>
      <c r="M44" s="1"/>
      <c r="N44" s="1"/>
      <c r="O44" s="1"/>
      <c r="P44" s="1"/>
      <c r="Q44" s="1"/>
      <c r="R44" s="1"/>
      <c r="S44" s="1"/>
      <c r="T44" s="1"/>
    </row>
    <row r="45" spans="1:20" x14ac:dyDescent="0.15">
      <c r="G45" s="14">
        <v>27</v>
      </c>
      <c r="H45" s="16">
        <f t="shared" si="7"/>
        <v>29999.573317415685</v>
      </c>
      <c r="I45" s="16">
        <f t="shared" si="3"/>
        <v>209.99701322190981</v>
      </c>
      <c r="J45" s="16">
        <f t="shared" si="4"/>
        <v>1476.0671058237717</v>
      </c>
      <c r="K45" s="16">
        <f t="shared" si="5"/>
        <v>28733.503224813823</v>
      </c>
    </row>
    <row r="46" spans="1:20" ht="15" customHeight="1" x14ac:dyDescent="0.15">
      <c r="G46" s="14">
        <v>28</v>
      </c>
      <c r="H46" s="16">
        <f t="shared" si="7"/>
        <v>28733.503224813823</v>
      </c>
      <c r="I46" s="16">
        <f t="shared" si="3"/>
        <v>201.13452257369676</v>
      </c>
      <c r="J46" s="16">
        <f t="shared" si="4"/>
        <v>1476.0671058237717</v>
      </c>
      <c r="K46" s="16">
        <f t="shared" si="5"/>
        <v>27458.570641563747</v>
      </c>
      <c r="M46" s="2" t="s">
        <v>175</v>
      </c>
      <c r="N46" s="2"/>
      <c r="O46" s="2"/>
      <c r="P46" s="2"/>
      <c r="Q46" s="2"/>
      <c r="R46" s="2"/>
      <c r="S46" s="2"/>
      <c r="T46" s="2"/>
    </row>
    <row r="47" spans="1:20" x14ac:dyDescent="0.15">
      <c r="G47" s="14">
        <v>29</v>
      </c>
      <c r="H47" s="16">
        <f t="shared" si="7"/>
        <v>27458.570641563747</v>
      </c>
      <c r="I47" s="16">
        <f t="shared" si="3"/>
        <v>192.20999449094623</v>
      </c>
      <c r="J47" s="16">
        <f t="shared" si="4"/>
        <v>1476.0671058237717</v>
      </c>
      <c r="K47" s="16">
        <f t="shared" si="5"/>
        <v>26174.713530230922</v>
      </c>
      <c r="M47" s="2"/>
      <c r="N47" s="2"/>
      <c r="O47" s="2"/>
      <c r="P47" s="2"/>
      <c r="Q47" s="2"/>
      <c r="R47" s="2"/>
      <c r="S47" s="2"/>
      <c r="T47" s="2"/>
    </row>
    <row r="48" spans="1:20" x14ac:dyDescent="0.15">
      <c r="G48" s="14">
        <v>30</v>
      </c>
      <c r="H48" s="16">
        <f t="shared" si="7"/>
        <v>26174.713530230922</v>
      </c>
      <c r="I48" s="16">
        <f t="shared" si="3"/>
        <v>183.22299471161645</v>
      </c>
      <c r="J48" s="16">
        <f t="shared" si="4"/>
        <v>1476.0671058237717</v>
      </c>
      <c r="K48" s="16">
        <f t="shared" si="5"/>
        <v>24881.869419118768</v>
      </c>
      <c r="M48" s="2"/>
      <c r="N48" s="2"/>
      <c r="O48" s="2"/>
      <c r="P48" s="2"/>
      <c r="Q48" s="2"/>
      <c r="R48" s="2"/>
      <c r="S48" s="2"/>
      <c r="T48" s="2"/>
    </row>
    <row r="49" spans="7:20" ht="15" customHeight="1" x14ac:dyDescent="0.15">
      <c r="G49" s="14">
        <v>31</v>
      </c>
      <c r="H49" s="16">
        <f t="shared" si="7"/>
        <v>24881.869419118768</v>
      </c>
      <c r="I49" s="16">
        <f t="shared" si="3"/>
        <v>174.17308593383137</v>
      </c>
      <c r="J49" s="16">
        <f t="shared" si="4"/>
        <v>1476.0671058237717</v>
      </c>
      <c r="K49" s="16">
        <f t="shared" si="5"/>
        <v>23579.975399228828</v>
      </c>
      <c r="M49" s="1" t="s">
        <v>176</v>
      </c>
      <c r="N49" s="1"/>
      <c r="O49" s="1"/>
      <c r="P49" s="1"/>
      <c r="Q49" s="1"/>
      <c r="R49" s="1"/>
      <c r="S49" s="1"/>
      <c r="T49" s="1"/>
    </row>
    <row r="50" spans="7:20" x14ac:dyDescent="0.15">
      <c r="G50" s="14">
        <v>32</v>
      </c>
      <c r="H50" s="16">
        <f t="shared" si="7"/>
        <v>23579.975399228828</v>
      </c>
      <c r="I50" s="16">
        <f t="shared" si="3"/>
        <v>165.0598277946018</v>
      </c>
      <c r="J50" s="16">
        <f t="shared" si="4"/>
        <v>1476.0671058237717</v>
      </c>
      <c r="K50" s="16">
        <f t="shared" si="5"/>
        <v>22268.968121199658</v>
      </c>
      <c r="M50" s="1"/>
      <c r="N50" s="1"/>
      <c r="O50" s="1"/>
      <c r="P50" s="1"/>
      <c r="Q50" s="1"/>
      <c r="R50" s="1"/>
      <c r="S50" s="1"/>
      <c r="T50" s="1"/>
    </row>
    <row r="51" spans="7:20" x14ac:dyDescent="0.15">
      <c r="G51" s="14">
        <v>33</v>
      </c>
      <c r="H51" s="16">
        <f t="shared" si="7"/>
        <v>22268.968121199658</v>
      </c>
      <c r="I51" s="16">
        <f t="shared" si="3"/>
        <v>155.88277684839761</v>
      </c>
      <c r="J51" s="16">
        <f t="shared" si="4"/>
        <v>1476.0671058237717</v>
      </c>
      <c r="K51" s="16">
        <f t="shared" si="5"/>
        <v>20948.783792224283</v>
      </c>
      <c r="M51" s="1"/>
      <c r="N51" s="1"/>
      <c r="O51" s="1"/>
      <c r="P51" s="1"/>
      <c r="Q51" s="1"/>
      <c r="R51" s="1"/>
      <c r="S51" s="1"/>
      <c r="T51" s="1"/>
    </row>
    <row r="52" spans="7:20" x14ac:dyDescent="0.15">
      <c r="G52" s="14">
        <v>34</v>
      </c>
      <c r="H52" s="16">
        <f t="shared" si="7"/>
        <v>20948.783792224283</v>
      </c>
      <c r="I52" s="16">
        <f t="shared" si="3"/>
        <v>146.64148654556999</v>
      </c>
      <c r="J52" s="16">
        <f t="shared" si="4"/>
        <v>1476.0671058237717</v>
      </c>
      <c r="K52" s="16">
        <f t="shared" si="5"/>
        <v>19619.358172946082</v>
      </c>
    </row>
    <row r="53" spans="7:20" x14ac:dyDescent="0.15">
      <c r="G53" s="14">
        <v>35</v>
      </c>
      <c r="H53" s="16">
        <f t="shared" si="7"/>
        <v>19619.358172946082</v>
      </c>
      <c r="I53" s="16">
        <f t="shared" si="3"/>
        <v>137.33550721062258</v>
      </c>
      <c r="J53" s="16">
        <f t="shared" si="4"/>
        <v>1476.0671058237717</v>
      </c>
      <c r="K53" s="16">
        <f t="shared" si="5"/>
        <v>18280.626574332935</v>
      </c>
    </row>
    <row r="54" spans="7:20" x14ac:dyDescent="0.15">
      <c r="G54" s="14">
        <v>36</v>
      </c>
      <c r="H54" s="16">
        <f t="shared" si="7"/>
        <v>18280.626574332935</v>
      </c>
      <c r="I54" s="16">
        <f t="shared" si="3"/>
        <v>127.96438602033055</v>
      </c>
      <c r="J54" s="16">
        <f t="shared" si="4"/>
        <v>1476.0671058237717</v>
      </c>
      <c r="K54" s="16">
        <f t="shared" si="5"/>
        <v>16932.523854529496</v>
      </c>
    </row>
    <row r="55" spans="7:20" x14ac:dyDescent="0.15">
      <c r="G55" s="14">
        <v>37</v>
      </c>
      <c r="H55" s="16">
        <f t="shared" si="7"/>
        <v>16932.523854529496</v>
      </c>
      <c r="I55" s="16">
        <f t="shared" si="3"/>
        <v>118.52766698170647</v>
      </c>
      <c r="J55" s="16">
        <f t="shared" si="4"/>
        <v>1476.0671058237717</v>
      </c>
      <c r="K55" s="16">
        <f t="shared" si="5"/>
        <v>15574.984415687431</v>
      </c>
    </row>
    <row r="56" spans="7:20" x14ac:dyDescent="0.15">
      <c r="G56" s="14">
        <v>38</v>
      </c>
      <c r="H56" s="16">
        <f t="shared" si="7"/>
        <v>15574.984415687431</v>
      </c>
      <c r="I56" s="16">
        <f t="shared" si="3"/>
        <v>109.02489090981203</v>
      </c>
      <c r="J56" s="16">
        <f t="shared" si="4"/>
        <v>1476.0671058237717</v>
      </c>
      <c r="K56" s="16">
        <f t="shared" si="5"/>
        <v>14207.942200773472</v>
      </c>
    </row>
    <row r="57" spans="7:20" x14ac:dyDescent="0.15">
      <c r="G57" s="14">
        <v>39</v>
      </c>
      <c r="H57" s="16">
        <f t="shared" si="7"/>
        <v>14207.942200773472</v>
      </c>
      <c r="I57" s="16">
        <f t="shared" si="3"/>
        <v>99.4555954054143</v>
      </c>
      <c r="J57" s="16">
        <f t="shared" si="4"/>
        <v>1476.0671058237717</v>
      </c>
      <c r="K57" s="16">
        <f t="shared" si="5"/>
        <v>12831.330690355115</v>
      </c>
    </row>
    <row r="58" spans="7:20" x14ac:dyDescent="0.15">
      <c r="G58" s="14">
        <v>40</v>
      </c>
      <c r="H58" s="16">
        <f t="shared" si="7"/>
        <v>12831.330690355115</v>
      </c>
      <c r="I58" s="16">
        <f t="shared" si="3"/>
        <v>89.819314832485802</v>
      </c>
      <c r="J58" s="16">
        <f t="shared" si="4"/>
        <v>1476.0671058237717</v>
      </c>
      <c r="K58" s="16">
        <f t="shared" si="5"/>
        <v>11445.08289936383</v>
      </c>
    </row>
    <row r="59" spans="7:20" x14ac:dyDescent="0.15">
      <c r="G59" s="14">
        <v>41</v>
      </c>
      <c r="H59" s="16">
        <f t="shared" si="7"/>
        <v>11445.08289936383</v>
      </c>
      <c r="I59" s="16">
        <f t="shared" si="3"/>
        <v>80.115580295546806</v>
      </c>
      <c r="J59" s="16">
        <f t="shared" si="4"/>
        <v>1476.0671058237717</v>
      </c>
      <c r="K59" s="16">
        <f t="shared" si="5"/>
        <v>10049.131373835606</v>
      </c>
    </row>
    <row r="60" spans="7:20" x14ac:dyDescent="0.15">
      <c r="G60" s="14">
        <v>42</v>
      </c>
      <c r="H60" s="16">
        <f t="shared" si="7"/>
        <v>10049.131373835606</v>
      </c>
      <c r="I60" s="16">
        <f t="shared" si="3"/>
        <v>70.343919616849234</v>
      </c>
      <c r="J60" s="16">
        <f t="shared" si="4"/>
        <v>1476.0671058237717</v>
      </c>
      <c r="K60" s="16">
        <f t="shared" si="5"/>
        <v>8643.4081876286837</v>
      </c>
    </row>
    <row r="61" spans="7:20" x14ac:dyDescent="0.15">
      <c r="G61" s="14">
        <v>43</v>
      </c>
      <c r="H61" s="16">
        <f t="shared" si="7"/>
        <v>8643.4081876286837</v>
      </c>
      <c r="I61" s="16">
        <f t="shared" si="3"/>
        <v>60.503857313400786</v>
      </c>
      <c r="J61" s="16">
        <f t="shared" si="4"/>
        <v>1476.0671058237717</v>
      </c>
      <c r="K61" s="16">
        <f t="shared" si="5"/>
        <v>7227.8449391183131</v>
      </c>
    </row>
    <row r="62" spans="7:20" x14ac:dyDescent="0.15">
      <c r="G62" s="14">
        <v>44</v>
      </c>
      <c r="H62" s="16">
        <f t="shared" si="7"/>
        <v>7227.8449391183131</v>
      </c>
      <c r="I62" s="16">
        <f t="shared" si="3"/>
        <v>50.594914573828191</v>
      </c>
      <c r="J62" s="16">
        <f t="shared" si="4"/>
        <v>1476.0671058237717</v>
      </c>
      <c r="K62" s="16">
        <f t="shared" si="5"/>
        <v>5802.3727478683704</v>
      </c>
    </row>
    <row r="63" spans="7:20" x14ac:dyDescent="0.15">
      <c r="G63" s="14">
        <v>45</v>
      </c>
      <c r="H63" s="16">
        <f t="shared" si="7"/>
        <v>5802.3727478683704</v>
      </c>
      <c r="I63" s="16">
        <f t="shared" si="3"/>
        <v>40.616609235078592</v>
      </c>
      <c r="J63" s="16">
        <f t="shared" si="4"/>
        <v>1476.0671058237717</v>
      </c>
      <c r="K63" s="16">
        <f t="shared" si="5"/>
        <v>4366.9222512796769</v>
      </c>
    </row>
    <row r="64" spans="7:20" x14ac:dyDescent="0.15">
      <c r="G64" s="14">
        <v>46</v>
      </c>
      <c r="H64" s="16">
        <f t="shared" si="7"/>
        <v>4366.9222512796769</v>
      </c>
      <c r="I64" s="16">
        <f t="shared" si="3"/>
        <v>30.568455758957739</v>
      </c>
      <c r="J64" s="16">
        <f t="shared" si="4"/>
        <v>1476.0671058237717</v>
      </c>
      <c r="K64" s="16">
        <f t="shared" si="5"/>
        <v>2921.4236012148626</v>
      </c>
    </row>
    <row r="65" spans="7:11" x14ac:dyDescent="0.15">
      <c r="G65" s="14">
        <v>47</v>
      </c>
      <c r="H65" s="16">
        <f t="shared" si="7"/>
        <v>2921.4236012148626</v>
      </c>
      <c r="I65" s="16">
        <f t="shared" si="3"/>
        <v>20.44996520850404</v>
      </c>
      <c r="J65" s="16">
        <f t="shared" si="4"/>
        <v>1476.0671058237717</v>
      </c>
      <c r="K65" s="16">
        <f t="shared" si="5"/>
        <v>1465.8064605995951</v>
      </c>
    </row>
    <row r="66" spans="7:11" x14ac:dyDescent="0.15">
      <c r="G66" s="14">
        <v>48</v>
      </c>
      <c r="H66" s="16">
        <f t="shared" si="7"/>
        <v>1465.8064605995951</v>
      </c>
      <c r="I66" s="16">
        <f t="shared" si="3"/>
        <v>10.260645224197166</v>
      </c>
      <c r="J66" s="16">
        <f t="shared" si="4"/>
        <v>1476.0671058237717</v>
      </c>
      <c r="K66" s="16">
        <f t="shared" si="5"/>
        <v>2.0463630789890885E-11</v>
      </c>
    </row>
  </sheetData>
  <mergeCells count="21">
    <mergeCell ref="M49:T51"/>
    <mergeCell ref="M32:T34"/>
    <mergeCell ref="M35:T37"/>
    <mergeCell ref="M39:T41"/>
    <mergeCell ref="M42:T44"/>
    <mergeCell ref="M46:T48"/>
    <mergeCell ref="M16:T18"/>
    <mergeCell ref="M20:T21"/>
    <mergeCell ref="M22:T24"/>
    <mergeCell ref="M26:T27"/>
    <mergeCell ref="M28:T30"/>
    <mergeCell ref="M7:T8"/>
    <mergeCell ref="M9:T10"/>
    <mergeCell ref="M11:T11"/>
    <mergeCell ref="M12:T12"/>
    <mergeCell ref="M15:T15"/>
    <mergeCell ref="A1:T1"/>
    <mergeCell ref="A2:T2"/>
    <mergeCell ref="A5:E6"/>
    <mergeCell ref="G5:K6"/>
    <mergeCell ref="M5:T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Task 1 Startup</vt:lpstr>
      <vt:lpstr>Task 2 Innovation fund</vt:lpstr>
      <vt:lpstr>Task 3 Solar panels</vt:lpstr>
      <vt:lpstr>Task 4 Community loan</vt:lpstr>
      <vt:lpstr>Task 5 Two more 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</cp:lastModifiedBy>
  <cp:revision>1</cp:revision>
  <dcterms:created xsi:type="dcterms:W3CDTF">2026-10-08T23:49:29Z</dcterms:created>
  <dcterms:modified xsi:type="dcterms:W3CDTF">2026-10-09T01:55:38Z</dcterms:modified>
  <dc:language>en-US</dc:language>
</cp:coreProperties>
</file>