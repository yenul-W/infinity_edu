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Task 1 Formal" sheetId="2" state="visible" r:id="rId2"/>
    <sheet name="Task 2 Formal backward" sheetId="3" state="visible" r:id="rId3"/>
    <sheet name="Task 3 Heritage project" sheetId="4" state="visible" r:id="rId4"/>
    <sheet name="Task 4 Garde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\$#,##0.0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404040"/>
      <sz val="10"/>
    </font>
    <font>
      <name val="Arial"/>
      <b val="1"/>
      <color rgb="00C00000"/>
      <sz val="10"/>
    </font>
    <font>
      <name val="Arial"/>
      <b val="1"/>
      <color rgb="001F4E5F"/>
      <sz val="11"/>
    </font>
    <font>
      <name val="Arial"/>
      <sz val="10"/>
    </font>
    <font>
      <name val="Arial"/>
      <b val="1"/>
      <color rgb="001F4E5F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E2F0D9"/>
      </patternFill>
    </fill>
    <fill>
      <patternFill patternType="solid">
        <fgColor rgb="00DDEBF7"/>
      </patternFill>
    </fill>
    <fill>
      <patternFill patternType="solid">
        <fgColor rgb="00D9E7EC"/>
      </patternFill>
    </fill>
  </fills>
  <borders count="11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/>
      <right/>
      <top style="thin">
        <color rgb="00A6A6A6"/>
      </top>
      <bottom/>
      <diagonal/>
    </border>
    <border>
      <left style="thin">
        <color rgb="00A6A6A6"/>
      </left>
      <right/>
      <top/>
      <bottom/>
      <diagonal/>
    </border>
    <border>
      <left/>
      <right style="thin">
        <color rgb="00A6A6A6"/>
      </right>
      <top style="thin">
        <color rgb="00A6A6A6"/>
      </top>
      <bottom/>
      <diagonal/>
    </border>
    <border>
      <left/>
      <right style="thin">
        <color rgb="00A6A6A6"/>
      </right>
      <top/>
      <bottom/>
      <diagonal/>
    </border>
    <border>
      <left style="thin">
        <color rgb="00A6A6A6"/>
      </left>
      <right/>
      <top/>
      <bottom style="thin">
        <color rgb="00A6A6A6"/>
      </bottom>
      <diagonal/>
    </border>
    <border>
      <left/>
      <right/>
      <top/>
      <bottom style="thin">
        <color rgb="00A6A6A6"/>
      </bottom>
      <diagonal/>
    </border>
    <border>
      <left/>
      <right style="thin">
        <color rgb="00A6A6A6"/>
      </right>
      <top/>
      <bottom style="thin">
        <color rgb="00A6A6A6"/>
      </bottom>
      <diagonal/>
    </border>
    <border>
      <left/>
      <right/>
      <top style="thin">
        <color rgb="00A6A6A6"/>
      </top>
      <bottom style="thin">
        <color rgb="00A6A6A6"/>
      </bottom>
      <diagonal/>
    </border>
    <border>
      <left/>
      <right style="thin">
        <color rgb="00A6A6A6"/>
      </right>
      <top style="thin">
        <color rgb="00A6A6A6"/>
      </top>
      <bottom style="thin">
        <color rgb="00A6A6A6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3" borderId="1" pivotButton="0" quotePrefix="0" xfId="0"/>
    <xf numFmtId="0" fontId="5" fillId="0" borderId="0" pivotButton="0" quotePrefix="0" xfId="0"/>
    <xf numFmtId="164" fontId="5" fillId="4" borderId="1" pivotButton="0" quotePrefix="0" xfId="0"/>
    <xf numFmtId="0" fontId="6" fillId="5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top" wrapText="1"/>
    </xf>
    <xf numFmtId="0" fontId="5" fillId="4" borderId="1" applyAlignment="1" pivotButton="0" quotePrefix="0" xfId="0">
      <alignment horizontal="center"/>
    </xf>
    <xf numFmtId="0" fontId="5" fillId="4" borderId="1" pivotButton="0" quotePrefix="0" xfId="0"/>
    <xf numFmtId="1" fontId="5" fillId="4" borderId="1" pivotButton="0" quotePrefix="0" xfId="0"/>
    <xf numFmtId="1" fontId="5" fillId="0" borderId="1" pivotButton="0" quotePrefix="0" xfId="0"/>
    <xf numFmtId="1" fontId="5" fillId="3" borderId="1" pivotButton="0" quotePrefix="0" xfId="0"/>
    <xf numFmtId="0" fontId="7" fillId="0" borderId="0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5" fillId="0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0" fontId="0" fillId="0" borderId="9" pivotButton="0" quotePrefix="0" xfId="0"/>
    <xf numFmtId="0" fontId="0" fillId="0" borderId="10" pivotButton="0" quotePrefix="0" xfId="0"/>
    <xf numFmtId="0" fontId="5" fillId="0" borderId="1" pivotButton="0" quotePrefix="0" xfId="0"/>
    <xf numFmtId="1" fontId="7" fillId="0" borderId="1" pivotButton="0" quotePrefix="0" xfId="0"/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Heritage project Gantt chart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'Task 3 Heritage project'!J5</f>
            </strRef>
          </tx>
          <spPr>
            <a:noFill/>
            <a:ln>
              <a:noFill/>
              <a:prstDash val="solid"/>
            </a:ln>
          </spPr>
          <cat>
            <numRef>
              <f>'Task 3 Heritage project'!$A$6:$A$15</f>
            </numRef>
          </cat>
          <val>
            <numRef>
              <f>'Task 3 Heritage project'!$J$6:$J$15</f>
            </numRef>
          </val>
        </ser>
        <ser>
          <idx val="1"/>
          <order val="1"/>
          <tx>
            <strRef>
              <f>'Task 3 Heritage project'!C5</f>
            </strRef>
          </tx>
          <spPr>
            <a:solidFill>
              <a:srgbClr val="4A7EBB"/>
            </a:solidFill>
            <a:ln>
              <a:solidFill>
                <a:srgbClr val="4A7EBB"/>
              </a:solidFill>
              <a:prstDash val="solid"/>
            </a:ln>
          </spPr>
          <cat>
            <numRef>
              <f>'Task 3 Heritage project'!$A$6:$A$15</f>
            </numRef>
          </cat>
          <val>
            <numRef>
              <f>'Task 3 Heritage project'!$C$6:$C$15</f>
            </numRef>
          </val>
        </ser>
        <gapWidth val="60"/>
        <overlap val="100"/>
        <axId val="10"/>
        <axId val="100"/>
      </barChart>
      <catAx>
        <axId val="10"/>
        <scaling>
          <orientation val="maxMin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Activity</a:t>
                </a:r>
              </a:p>
            </rich>
          </tx>
        </title>
        <majorTickMark val="none"/>
        <minorTickMark val="none"/>
        <txPr>
          <a:bodyPr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(weeks from the start)</a:t>
                </a:r>
              </a:p>
            </rich>
          </tx>
        </title>
        <majorTickMark val="none"/>
        <minorTickMark val="none"/>
        <txPr>
          <a:bodyPr/>
          <a:p>
            <a:pPr>
              <a:defRPr sz="900"/>
            </a:pPr>
            <a:r>
              <a:t/>
            </a:r>
            <a:endParaRPr sz="900"/>
          </a:p>
        </txPr>
        <crossAx val="10"/>
      </valAx>
    </plotArea>
    <legend>
      <legendPos val="b"/>
      <legendEntry>
        <idx val="0"/>
        <delete val="1"/>
      </legendEntry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25</col>
      <colOff>0</colOff>
      <row>2</row>
      <rowOff>0</rowOff>
    </from>
    <ext cx="612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70" customWidth="1" min="3" max="3"/>
  </cols>
  <sheetData>
    <row r="1" ht="31.5" customHeight="1">
      <c r="A1" s="1" t="inlineStr">
        <is>
          <t>Critical Path Analysis – Spreadsheet Homework – SOLUTIONS</t>
        </is>
      </c>
    </row>
    <row r="2" ht="30" customHeight="1">
      <c r="A2" s="2" t="inlineStr">
        <is>
          <t>Four tasks. In Tasks 1 to 3 you build the model yourself. Task 4 gives you a finished model to experiment with.</t>
        </is>
      </c>
    </row>
    <row r="4">
      <c r="A4" s="3" t="inlineStr">
        <is>
          <t>SOLUTIONS – green cells show a correct formula or answer. Your formulas may look different and still be correct.</t>
        </is>
      </c>
    </row>
    <row r="6">
      <c r="A6" s="4" t="inlineStr">
        <is>
          <t>Colour key</t>
        </is>
      </c>
    </row>
    <row r="7">
      <c r="A7" s="5" t="n"/>
      <c r="B7" s="6" t="inlineStr">
        <is>
          <t>Green = a worked solution.</t>
        </is>
      </c>
    </row>
    <row r="8">
      <c r="A8" s="7" t="n">
        <v>1000</v>
      </c>
      <c r="B8" s="6" t="inlineStr">
        <is>
          <t>Blue = given information. Only change it when a question tells you to, then change it back.</t>
        </is>
      </c>
    </row>
    <row r="11">
      <c r="A11" s="4" t="inlineStr">
        <is>
          <t>The tasks</t>
        </is>
      </c>
    </row>
    <row r="12" ht="15" customHeight="1">
      <c r="A12" s="8" t="inlineStr">
        <is>
          <t>Tab</t>
        </is>
      </c>
      <c r="B12" s="8" t="inlineStr">
        <is>
          <t>Context</t>
        </is>
      </c>
      <c r="C12" s="8" t="inlineStr">
        <is>
          <t>What you practise</t>
        </is>
      </c>
    </row>
    <row r="13">
      <c r="A13" s="6" t="inlineStr">
        <is>
          <t>Task 1 Formal</t>
        </is>
      </c>
      <c r="B13" s="6" t="inlineStr">
        <is>
          <t>Planning the Year 12 formal</t>
        </is>
      </c>
      <c r="C13" s="6" t="inlineStr">
        <is>
          <t>Forward scan: ESTs, EFTs and the minimum completion time</t>
        </is>
      </c>
    </row>
    <row r="14">
      <c r="A14" s="6" t="inlineStr">
        <is>
          <t>Task 2 Formal backward</t>
        </is>
      </c>
      <c r="B14" s="6" t="inlineStr">
        <is>
          <t>The same formal, continued</t>
        </is>
      </c>
      <c r="C14" s="6" t="inlineStr">
        <is>
          <t>Successors, backward scan, float and the critical path</t>
        </is>
      </c>
    </row>
    <row r="15">
      <c r="A15" s="6" t="inlineStr">
        <is>
          <t>Task 3 Heritage project</t>
        </is>
      </c>
      <c r="B15" s="6" t="inlineStr">
        <is>
          <t>Restoring a heritage building with the local community</t>
        </is>
      </c>
      <c r="C15" s="6" t="inlineStr">
        <is>
          <t>A whole project: both scans, the critical path and a Gantt chart</t>
        </is>
      </c>
    </row>
    <row r="16">
      <c r="A16" s="6" t="inlineStr">
        <is>
          <t>Task 4 Garden</t>
        </is>
      </c>
      <c r="B16" s="6" t="inlineStr">
        <is>
          <t>Building a community garden</t>
        </is>
      </c>
      <c r="C16" s="6" t="inlineStr">
        <is>
          <t>Using a finished model to examine delays and speed-ups</t>
        </is>
      </c>
    </row>
    <row r="18">
      <c r="A18" s="4" t="inlineStr">
        <is>
          <t>Rules for a good spreadsheet model</t>
        </is>
      </c>
    </row>
    <row r="19">
      <c r="A19" s="6" t="inlineStr">
        <is>
          <t xml:space="preserve">   1.  Every yellow table cell must contain a formula starting with =, not a typed number.</t>
        </is>
      </c>
    </row>
    <row r="20">
      <c r="A20" s="6" t="inlineStr">
        <is>
          <t xml:space="preserve">   2.  Formulas must use cell references (such as $B$5) for the given values, so the model updates when a value changes.</t>
        </is>
      </c>
    </row>
    <row r="21">
      <c r="A21" s="6" t="inlineStr">
        <is>
          <t xml:space="preserve">   3.  Use $ signs to lock a reference before you fill a formula down or across.</t>
        </is>
      </c>
    </row>
    <row r="22">
      <c r="A22" s="6" t="inlineStr">
        <is>
          <t xml:space="preserve">   4.  Use the check figures on each tab to test your formulas before you answer the questions.</t>
        </is>
      </c>
    </row>
    <row r="23">
      <c r="A23" s="6" t="inlineStr">
        <is>
          <t xml:space="preserve">   5.  Every chart needs a title and axis titles, and a legend if it shows more than one series. Place charts to the right of the questions.</t>
        </is>
      </c>
    </row>
    <row r="24">
      <c r="A24" s="6" t="inlineStr">
        <is>
          <t xml:space="preserve">   6.  Written answers should include the numbers from your spreadsheet that support them.</t>
        </is>
      </c>
    </row>
    <row r="25">
      <c r="A25" s="6" t="inlineStr">
        <is>
          <t xml:space="preserve">   7.  In Tasks 1 to 3 you may write each EST and LFT with MAX or MIN of the right cells (for example =MAX(H6,H7)), or use VLOOKUP as in the tutorial.</t>
        </is>
      </c>
    </row>
  </sheetData>
  <mergeCells count="3">
    <mergeCell ref="A1:C1"/>
    <mergeCell ref="A4:C4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3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1" customWidth="1" min="3" max="3"/>
    <col width="11" customWidth="1" min="4" max="4"/>
    <col width="11" customWidth="1" min="5" max="5"/>
    <col width="11" customWidth="1" min="6" max="6"/>
    <col width="9" customWidth="1" min="7" max="7"/>
    <col width="9" customWidth="1" min="8" max="8"/>
    <col width="3" customWidth="1" min="10" max="10"/>
    <col width="13" customWidth="1" min="11" max="11"/>
    <col width="3" customWidth="1" min="19" max="19"/>
  </cols>
  <sheetData>
    <row r="1" ht="31.5" customHeight="1">
      <c r="A1" s="1" t="inlineStr">
        <is>
          <t>Task 1   Planning the formal: forward scan</t>
        </is>
      </c>
    </row>
    <row r="2" ht="30" customHeight="1">
      <c r="A2" s="2" t="inlineStr">
        <is>
          <t>The formal committee has listed the activities needed to run the Year 12 formal, with how many days each takes and what must be finished first.</t>
        </is>
      </c>
    </row>
    <row r="4">
      <c r="A4" s="4" t="inlineStr">
        <is>
          <t>Precedence table</t>
        </is>
      </c>
      <c r="K4" s="4" t="inlineStr">
        <is>
          <t>What to do</t>
        </is>
      </c>
    </row>
    <row r="5" ht="31.5" customHeight="1">
      <c r="A5" s="8" t="inlineStr">
        <is>
          <t>Activity</t>
        </is>
      </c>
      <c r="B5" s="8" t="inlineStr">
        <is>
          <t>Task</t>
        </is>
      </c>
      <c r="C5" s="8" t="inlineStr">
        <is>
          <t>Duration (days)</t>
        </is>
      </c>
      <c r="D5" s="8" t="inlineStr">
        <is>
          <t>Immediate predecessor 1</t>
        </is>
      </c>
      <c r="E5" s="8" t="inlineStr">
        <is>
          <t>Immediate predecessor 2</t>
        </is>
      </c>
      <c r="F5" s="8" t="inlineStr">
        <is>
          <t>Immediate predecessor 3</t>
        </is>
      </c>
      <c r="G5" s="8" t="inlineStr">
        <is>
          <t>EST</t>
        </is>
      </c>
      <c r="H5" s="8" t="inlineStr">
        <is>
          <t>EFT</t>
        </is>
      </c>
      <c r="K5" s="9" t="inlineStr">
        <is>
          <t>1. Activity A is done for you: it has no predecessors, so its EST is 0, and EFT = EST + duration.</t>
        </is>
      </c>
    </row>
    <row r="6">
      <c r="A6" s="10" t="inlineStr">
        <is>
          <t>A</t>
        </is>
      </c>
      <c r="B6" s="11" t="inlineStr">
        <is>
          <t>Book the venue</t>
        </is>
      </c>
      <c r="C6" s="12" t="n">
        <v>3</v>
      </c>
      <c r="D6" s="10" t="n"/>
      <c r="E6" s="10" t="n"/>
      <c r="F6" s="10" t="n"/>
      <c r="G6" s="13" t="n">
        <v>0</v>
      </c>
      <c r="H6" s="13">
        <f>G6+C6</f>
        <v/>
      </c>
    </row>
    <row r="7">
      <c r="A7" s="10" t="inlineStr">
        <is>
          <t>B</t>
        </is>
      </c>
      <c r="B7" s="11" t="inlineStr">
        <is>
          <t>Choose a theme</t>
        </is>
      </c>
      <c r="C7" s="12" t="n">
        <v>2</v>
      </c>
      <c r="D7" s="10" t="n"/>
      <c r="E7" s="10" t="n"/>
      <c r="F7" s="10" t="n"/>
      <c r="G7" s="14">
        <f>MAX(0,IFERROR(VLOOKUP(D7,$A$5:$H6,8,FALSE),0),IFERROR(VLOOKUP(E7,$A$5:$H6,8,FALSE),0),IFERROR(VLOOKUP(F7,$A$5:$H6,8,FALSE),0))</f>
        <v/>
      </c>
      <c r="H7" s="14">
        <f>G7+C7</f>
        <v/>
      </c>
      <c r="K7" s="9" t="inlineStr">
        <is>
          <t>2. For each other activity, EST = the LARGEST EFT of its immediate predecessors. For example, E must wait for A and B, so G10 could be =MAX(H6,H7).</t>
        </is>
      </c>
    </row>
    <row r="8">
      <c r="A8" s="10" t="inlineStr">
        <is>
          <t>C</t>
        </is>
      </c>
      <c r="B8" s="11" t="inlineStr">
        <is>
          <t>Book a DJ</t>
        </is>
      </c>
      <c r="C8" s="12" t="n">
        <v>2</v>
      </c>
      <c r="D8" s="10" t="inlineStr">
        <is>
          <t>A</t>
        </is>
      </c>
      <c r="E8" s="10" t="n"/>
      <c r="F8" s="10" t="n"/>
      <c r="G8" s="14">
        <f>MAX(0,IFERROR(VLOOKUP(D8,$A$5:$H7,8,FALSE),0),IFERROR(VLOOKUP(E8,$A$5:$H7,8,FALSE),0),IFERROR(VLOOKUP(F8,$A$5:$H7,8,FALSE),0))</f>
        <v/>
      </c>
      <c r="H8" s="14">
        <f>G8+C8</f>
        <v/>
      </c>
    </row>
    <row r="9">
      <c r="A9" s="10" t="inlineStr">
        <is>
          <t>D</t>
        </is>
      </c>
      <c r="B9" s="11" t="inlineStr">
        <is>
          <t>Order decorations</t>
        </is>
      </c>
      <c r="C9" s="12" t="n">
        <v>4</v>
      </c>
      <c r="D9" s="10" t="inlineStr">
        <is>
          <t>B</t>
        </is>
      </c>
      <c r="E9" s="10" t="n"/>
      <c r="F9" s="10" t="n"/>
      <c r="G9" s="14">
        <f>MAX(0,IFERROR(VLOOKUP(D9,$A$5:$H8,8,FALSE),0),IFERROR(VLOOKUP(E9,$A$5:$H8,8,FALSE),0),IFERROR(VLOOKUP(F9,$A$5:$H8,8,FALSE),0))</f>
        <v/>
      </c>
      <c r="H9" s="14">
        <f>G9+C9</f>
        <v/>
      </c>
      <c r="K9" s="9" t="inlineStr">
        <is>
          <t>3. Fill in every EST and EFT, working down the table.</t>
        </is>
      </c>
    </row>
    <row r="10">
      <c r="A10" s="10" t="inlineStr">
        <is>
          <t>E</t>
        </is>
      </c>
      <c r="B10" s="11" t="inlineStr">
        <is>
          <t>Sell tickets</t>
        </is>
      </c>
      <c r="C10" s="12" t="n">
        <v>5</v>
      </c>
      <c r="D10" s="10" t="inlineStr">
        <is>
          <t>A</t>
        </is>
      </c>
      <c r="E10" s="10" t="inlineStr">
        <is>
          <t>B</t>
        </is>
      </c>
      <c r="F10" s="10" t="n"/>
      <c r="G10" s="14">
        <f>MAX(0,IFERROR(VLOOKUP(D10,$A$5:$H9,8,FALSE),0),IFERROR(VLOOKUP(E10,$A$5:$H9,8,FALSE),0),IFERROR(VLOOKUP(F10,$A$5:$H9,8,FALSE),0))</f>
        <v/>
      </c>
      <c r="H10" s="14">
        <f>G10+C10</f>
        <v/>
      </c>
      <c r="K10" s="9" t="inlineStr">
        <is>
          <t>4. In C17, find the minimum completion time with MAX.</t>
        </is>
      </c>
    </row>
    <row r="11">
      <c r="A11" s="10" t="inlineStr">
        <is>
          <t>F</t>
        </is>
      </c>
      <c r="B11" s="11" t="inlineStr">
        <is>
          <t>Arrange catering</t>
        </is>
      </c>
      <c r="C11" s="12" t="n">
        <v>3</v>
      </c>
      <c r="D11" s="10" t="inlineStr">
        <is>
          <t>A</t>
        </is>
      </c>
      <c r="E11" s="10" t="n"/>
      <c r="F11" s="10" t="n"/>
      <c r="G11" s="14">
        <f>MAX(0,IFERROR(VLOOKUP(D11,$A$5:$H10,8,FALSE),0),IFERROR(VLOOKUP(E11,$A$5:$H10,8,FALSE),0),IFERROR(VLOOKUP(F11,$A$5:$H10,8,FALSE),0))</f>
        <v/>
      </c>
      <c r="H11" s="14">
        <f>G11+C11</f>
        <v/>
      </c>
      <c r="K11" s="15" t="inlineStr">
        <is>
          <t>Check: activity G should have EST 6 and EFT 8.</t>
        </is>
      </c>
    </row>
    <row r="12">
      <c r="A12" s="10" t="inlineStr">
        <is>
          <t>G</t>
        </is>
      </c>
      <c r="B12" s="11" t="inlineStr">
        <is>
          <t>Decorate the venue</t>
        </is>
      </c>
      <c r="C12" s="12" t="n">
        <v>2</v>
      </c>
      <c r="D12" s="10" t="inlineStr">
        <is>
          <t>C</t>
        </is>
      </c>
      <c r="E12" s="10" t="inlineStr">
        <is>
          <t>D</t>
        </is>
      </c>
      <c r="F12" s="10" t="n"/>
      <c r="G12" s="14">
        <f>MAX(0,IFERROR(VLOOKUP(D12,$A$5:$H11,8,FALSE),0),IFERROR(VLOOKUP(E12,$A$5:$H11,8,FALSE),0),IFERROR(VLOOKUP(F12,$A$5:$H11,8,FALSE),0))</f>
        <v/>
      </c>
      <c r="H12" s="14">
        <f>G12+C12</f>
        <v/>
      </c>
    </row>
    <row r="13">
      <c r="A13" s="10" t="inlineStr">
        <is>
          <t>H</t>
        </is>
      </c>
      <c r="B13" s="11" t="inlineStr">
        <is>
          <t>Finalise the seating plan</t>
        </is>
      </c>
      <c r="C13" s="12" t="n">
        <v>1</v>
      </c>
      <c r="D13" s="10" t="inlineStr">
        <is>
          <t>E</t>
        </is>
      </c>
      <c r="E13" s="10" t="inlineStr">
        <is>
          <t>F</t>
        </is>
      </c>
      <c r="F13" s="10" t="n"/>
      <c r="G13" s="14">
        <f>MAX(0,IFERROR(VLOOKUP(D13,$A$5:$H12,8,FALSE),0),IFERROR(VLOOKUP(E13,$A$5:$H12,8,FALSE),0),IFERROR(VLOOKUP(F13,$A$5:$H12,8,FALSE),0))</f>
        <v/>
      </c>
      <c r="H13" s="14">
        <f>G13+C13</f>
        <v/>
      </c>
      <c r="K13" s="4" t="inlineStr">
        <is>
          <t>Questions – worked answers</t>
        </is>
      </c>
    </row>
    <row r="14">
      <c r="A14" s="10" t="inlineStr">
        <is>
          <t>I</t>
        </is>
      </c>
      <c r="B14" s="11" t="inlineStr">
        <is>
          <t>Formal night</t>
        </is>
      </c>
      <c r="C14" s="12" t="n">
        <v>1</v>
      </c>
      <c r="D14" s="10" t="inlineStr">
        <is>
          <t>G</t>
        </is>
      </c>
      <c r="E14" s="10" t="inlineStr">
        <is>
          <t>H</t>
        </is>
      </c>
      <c r="F14" s="10" t="n"/>
      <c r="G14" s="14">
        <f>MAX(0,IFERROR(VLOOKUP(D14,$A$5:$H13,8,FALSE),0),IFERROR(VLOOKUP(E14,$A$5:$H13,8,FALSE),0),IFERROR(VLOOKUP(F14,$A$5:$H13,8,FALSE),0))</f>
        <v/>
      </c>
      <c r="H14" s="14">
        <f>G14+C14</f>
        <v/>
      </c>
      <c r="K14" s="15" t="inlineStr">
        <is>
          <t>Q1.  What is the minimum completion time for the formal?</t>
        </is>
      </c>
    </row>
    <row r="15">
      <c r="K15" s="16" t="inlineStr">
        <is>
          <t>10 days (the largest EFT, activity I).</t>
        </is>
      </c>
      <c r="L15" s="17" t="n"/>
      <c r="M15" s="17" t="n"/>
      <c r="N15" s="17" t="n"/>
      <c r="O15" s="17" t="n"/>
      <c r="P15" s="17" t="n"/>
      <c r="Q15" s="17" t="n"/>
      <c r="R15" s="18" t="n"/>
    </row>
    <row r="16">
      <c r="A16" s="4" t="inlineStr">
        <is>
          <t>Your calculations</t>
        </is>
      </c>
      <c r="K16" s="19" t="n"/>
      <c r="R16" s="20" t="n"/>
    </row>
    <row r="17">
      <c r="A17" s="6" t="inlineStr">
        <is>
          <t>Minimum completion time (days)</t>
        </is>
      </c>
      <c r="C17" s="14">
        <f>MAX(H6:H14)</f>
        <v/>
      </c>
      <c r="K17" s="21" t="n"/>
      <c r="L17" s="22" t="n"/>
      <c r="M17" s="22" t="n"/>
      <c r="N17" s="22" t="n"/>
      <c r="O17" s="22" t="n"/>
      <c r="P17" s="22" t="n"/>
      <c r="Q17" s="22" t="n"/>
      <c r="R17" s="23" t="n"/>
    </row>
    <row r="19">
      <c r="K19" s="15" t="inlineStr">
        <is>
          <t>Q2.  Which activities can start straight away? How can you tell from the table?</t>
        </is>
      </c>
    </row>
    <row r="20">
      <c r="K20" s="16" t="inlineStr">
        <is>
          <t>A and B. They have no immediate predecessors, so their EST is 0.</t>
        </is>
      </c>
      <c r="L20" s="17" t="n"/>
      <c r="M20" s="17" t="n"/>
      <c r="N20" s="17" t="n"/>
      <c r="O20" s="17" t="n"/>
      <c r="P20" s="17" t="n"/>
      <c r="Q20" s="17" t="n"/>
      <c r="R20" s="18" t="n"/>
    </row>
    <row r="21">
      <c r="K21" s="19" t="n"/>
      <c r="R21" s="20" t="n"/>
    </row>
    <row r="22">
      <c r="K22" s="21" t="n"/>
      <c r="L22" s="22" t="n"/>
      <c r="M22" s="22" t="n"/>
      <c r="N22" s="22" t="n"/>
      <c r="O22" s="22" t="n"/>
      <c r="P22" s="22" t="n"/>
      <c r="Q22" s="22" t="n"/>
      <c r="R22" s="23" t="n"/>
    </row>
    <row r="24">
      <c r="K24" s="15" t="inlineStr">
        <is>
          <t>Q3.  Explain why activity E has an EST of 3, not 2.</t>
        </is>
      </c>
    </row>
    <row r="25">
      <c r="K25" s="16" t="inlineStr">
        <is>
          <t>E needs both A and B to be finished. B finishes on day 2 but A not until day 3, so E must wait for the later one – the largest EFT.</t>
        </is>
      </c>
      <c r="L25" s="17" t="n"/>
      <c r="M25" s="17" t="n"/>
      <c r="N25" s="17" t="n"/>
      <c r="O25" s="17" t="n"/>
      <c r="P25" s="17" t="n"/>
      <c r="Q25" s="17" t="n"/>
      <c r="R25" s="18" t="n"/>
    </row>
    <row r="26">
      <c r="K26" s="19" t="n"/>
      <c r="R26" s="20" t="n"/>
    </row>
    <row r="27">
      <c r="K27" s="21" t="n"/>
      <c r="L27" s="22" t="n"/>
      <c r="M27" s="22" t="n"/>
      <c r="N27" s="22" t="n"/>
      <c r="O27" s="22" t="n"/>
      <c r="P27" s="22" t="n"/>
      <c r="Q27" s="22" t="n"/>
      <c r="R27" s="23" t="n"/>
    </row>
    <row r="29">
      <c r="K29" s="15" t="inlineStr">
        <is>
          <t>Q4.  Booking the DJ (C) actually takes 4 days. Change C8 (then change it back). Does the minimum completion time change? Explain.</t>
        </is>
      </c>
    </row>
    <row r="30"/>
    <row r="31">
      <c r="K31" s="16" t="inlineStr">
        <is>
          <t>No – it stays at 10 days. C now finishes on day 7, so G starts on day 7 and finishes on day 9. That is no later than H finishes (day 9), so the formal night (I) can still start on day 9.</t>
        </is>
      </c>
      <c r="L31" s="17" t="n"/>
      <c r="M31" s="17" t="n"/>
      <c r="N31" s="17" t="n"/>
      <c r="O31" s="17" t="n"/>
      <c r="P31" s="17" t="n"/>
      <c r="Q31" s="17" t="n"/>
      <c r="R31" s="18" t="n"/>
    </row>
    <row r="32">
      <c r="K32" s="19" t="n"/>
      <c r="R32" s="20" t="n"/>
    </row>
    <row r="33">
      <c r="K33" s="21" t="n"/>
      <c r="L33" s="22" t="n"/>
      <c r="M33" s="22" t="n"/>
      <c r="N33" s="22" t="n"/>
      <c r="O33" s="22" t="n"/>
      <c r="P33" s="22" t="n"/>
      <c r="Q33" s="22" t="n"/>
      <c r="R33" s="23" t="n"/>
    </row>
  </sheetData>
  <mergeCells count="15">
    <mergeCell ref="K31:R33"/>
    <mergeCell ref="A2:R2"/>
    <mergeCell ref="K20:R22"/>
    <mergeCell ref="K11:R11"/>
    <mergeCell ref="K25:R27"/>
    <mergeCell ref="K7:R8"/>
    <mergeCell ref="K24:R24"/>
    <mergeCell ref="K15:R17"/>
    <mergeCell ref="K19:R19"/>
    <mergeCell ref="A1:R1"/>
    <mergeCell ref="K5:R6"/>
    <mergeCell ref="K10:R10"/>
    <mergeCell ref="K9:R9"/>
    <mergeCell ref="K14:R14"/>
    <mergeCell ref="K29:R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  <col width="9" customWidth="1" min="4" max="4"/>
    <col width="11" customWidth="1" min="5" max="5"/>
    <col width="11" customWidth="1" min="6" max="6"/>
    <col width="11" customWidth="1" min="7" max="7"/>
    <col width="9" customWidth="1" min="8" max="8"/>
    <col width="9" customWidth="1" min="9" max="9"/>
    <col width="9" customWidth="1" min="10" max="10"/>
    <col width="11" customWidth="1" min="11" max="11"/>
    <col width="3" customWidth="1" min="12" max="12"/>
    <col width="13" customWidth="1" min="13" max="13"/>
    <col width="3" customWidth="1" min="21" max="21"/>
  </cols>
  <sheetData>
    <row r="1" ht="31.5" customHeight="1">
      <c r="A1" s="1" t="inlineStr">
        <is>
          <t>Task 2   The formal, continued: backward scan and critical path</t>
        </is>
      </c>
    </row>
    <row r="2" ht="30" customHeight="1">
      <c r="A2" s="2" t="inlineStr">
        <is>
          <t>This tab continues Task 1. The durations, ESTs and EFTs are linked to your answers there, so finish Task 1 first.</t>
        </is>
      </c>
    </row>
    <row r="4">
      <c r="A4" s="4" t="inlineStr">
        <is>
          <t>Backward scan</t>
        </is>
      </c>
      <c r="M4" s="4" t="inlineStr">
        <is>
          <t>What to do</t>
        </is>
      </c>
    </row>
    <row r="5" ht="31.5" customHeight="1">
      <c r="A5" s="8" t="inlineStr">
        <is>
          <t>Activity</t>
        </is>
      </c>
      <c r="B5" s="8" t="inlineStr">
        <is>
          <t>Duration (days)</t>
        </is>
      </c>
      <c r="C5" s="8" t="inlineStr">
        <is>
          <t>EST</t>
        </is>
      </c>
      <c r="D5" s="8" t="inlineStr">
        <is>
          <t>EFT</t>
        </is>
      </c>
      <c r="E5" s="8" t="inlineStr">
        <is>
          <t>Immediate successor 1</t>
        </is>
      </c>
      <c r="F5" s="8" t="inlineStr">
        <is>
          <t>Immediate successor 2</t>
        </is>
      </c>
      <c r="G5" s="8" t="inlineStr">
        <is>
          <t>Immediate successor 3</t>
        </is>
      </c>
      <c r="H5" s="8" t="inlineStr">
        <is>
          <t>LFT</t>
        </is>
      </c>
      <c r="I5" s="8" t="inlineStr">
        <is>
          <t>LST</t>
        </is>
      </c>
      <c r="J5" s="8" t="inlineStr">
        <is>
          <t>Float</t>
        </is>
      </c>
      <c r="K5" s="8" t="inlineStr">
        <is>
          <t>Critical?</t>
        </is>
      </c>
      <c r="M5" s="9" t="inlineStr">
        <is>
          <t>1. Fill in the successors: for each activity, list every activity that has it as an immediate predecessor. Use the precedence table in Task 1.</t>
        </is>
      </c>
    </row>
    <row r="6">
      <c r="A6" s="24">
        <f>'Task 1 Formal'!A6</f>
        <v/>
      </c>
      <c r="B6" s="13">
        <f>'Task 1 Formal'!C6</f>
        <v/>
      </c>
      <c r="C6" s="13">
        <f>'Task 1 Formal'!G6</f>
        <v/>
      </c>
      <c r="D6" s="13">
        <f>'Task 1 Formal'!H6</f>
        <v/>
      </c>
      <c r="E6" s="25" t="inlineStr">
        <is>
          <t>C</t>
        </is>
      </c>
      <c r="F6" s="25" t="inlineStr">
        <is>
          <t>E</t>
        </is>
      </c>
      <c r="G6" s="25" t="inlineStr">
        <is>
          <t>F</t>
        </is>
      </c>
      <c r="H6" s="14">
        <f>MIN($D$17,IFERROR(VLOOKUP(E6,$A7:$I$15,9,FALSE),$D$17),IFERROR(VLOOKUP(F6,$A7:$I$15,9,FALSE),$D$17),IFERROR(VLOOKUP(G6,$A7:$I$15,9,FALSE),$D$17))</f>
        <v/>
      </c>
      <c r="I6" s="14">
        <f>H6-B6</f>
        <v/>
      </c>
      <c r="J6" s="14">
        <f>I6-C6</f>
        <v/>
      </c>
      <c r="K6" s="25">
        <f>IF(J6=0,"Critical","")</f>
        <v/>
      </c>
    </row>
    <row r="7">
      <c r="A7" s="24">
        <f>'Task 1 Formal'!A7</f>
        <v/>
      </c>
      <c r="B7" s="13">
        <f>'Task 1 Formal'!C7</f>
        <v/>
      </c>
      <c r="C7" s="13">
        <f>'Task 1 Formal'!G7</f>
        <v/>
      </c>
      <c r="D7" s="13">
        <f>'Task 1 Formal'!H7</f>
        <v/>
      </c>
      <c r="E7" s="25" t="inlineStr">
        <is>
          <t>D</t>
        </is>
      </c>
      <c r="F7" s="25" t="inlineStr">
        <is>
          <t>E</t>
        </is>
      </c>
      <c r="G7" s="25" t="n"/>
      <c r="H7" s="14">
        <f>MIN($D$17,IFERROR(VLOOKUP(E7,$A8:$I$15,9,FALSE),$D$17),IFERROR(VLOOKUP(F7,$A8:$I$15,9,FALSE),$D$17),IFERROR(VLOOKUP(G7,$A8:$I$15,9,FALSE),$D$17))</f>
        <v/>
      </c>
      <c r="I7" s="14">
        <f>H7-B7</f>
        <v/>
      </c>
      <c r="J7" s="14">
        <f>I7-C7</f>
        <v/>
      </c>
      <c r="K7" s="25">
        <f>IF(J7=0,"Critical","")</f>
        <v/>
      </c>
      <c r="M7" s="9" t="inlineStr">
        <is>
          <t>2. The last activity (I) is done for you: its LFT is the minimum completion time. Work UP the table: LFT = the SMALLEST LST of its immediate successors. For example, F11 has one successor, H, so H11 could be =I13.</t>
        </is>
      </c>
    </row>
    <row r="8">
      <c r="A8" s="24">
        <f>'Task 1 Formal'!A8</f>
        <v/>
      </c>
      <c r="B8" s="13">
        <f>'Task 1 Formal'!C8</f>
        <v/>
      </c>
      <c r="C8" s="13">
        <f>'Task 1 Formal'!G8</f>
        <v/>
      </c>
      <c r="D8" s="13">
        <f>'Task 1 Formal'!H8</f>
        <v/>
      </c>
      <c r="E8" s="25" t="inlineStr">
        <is>
          <t>G</t>
        </is>
      </c>
      <c r="F8" s="25" t="n"/>
      <c r="G8" s="25" t="n"/>
      <c r="H8" s="14">
        <f>MIN($D$17,IFERROR(VLOOKUP(E8,$A9:$I$15,9,FALSE),$D$17),IFERROR(VLOOKUP(F8,$A9:$I$15,9,FALSE),$D$17),IFERROR(VLOOKUP(G8,$A9:$I$15,9,FALSE),$D$17))</f>
        <v/>
      </c>
      <c r="I8" s="14">
        <f>H8-B8</f>
        <v/>
      </c>
      <c r="J8" s="14">
        <f>I8-C8</f>
        <v/>
      </c>
      <c r="K8" s="25">
        <f>IF(J8=0,"Critical","")</f>
        <v/>
      </c>
    </row>
    <row r="9">
      <c r="A9" s="24">
        <f>'Task 1 Formal'!A9</f>
        <v/>
      </c>
      <c r="B9" s="13">
        <f>'Task 1 Formal'!C9</f>
        <v/>
      </c>
      <c r="C9" s="13">
        <f>'Task 1 Formal'!G9</f>
        <v/>
      </c>
      <c r="D9" s="13">
        <f>'Task 1 Formal'!H9</f>
        <v/>
      </c>
      <c r="E9" s="25" t="inlineStr">
        <is>
          <t>G</t>
        </is>
      </c>
      <c r="F9" s="25" t="n"/>
      <c r="G9" s="25" t="n"/>
      <c r="H9" s="14">
        <f>MIN($D$17,IFERROR(VLOOKUP(E9,$A10:$I$15,9,FALSE),$D$17),IFERROR(VLOOKUP(F9,$A10:$I$15,9,FALSE),$D$17),IFERROR(VLOOKUP(G9,$A10:$I$15,9,FALSE),$D$17))</f>
        <v/>
      </c>
      <c r="I9" s="14">
        <f>H9-B9</f>
        <v/>
      </c>
      <c r="J9" s="14">
        <f>I9-C9</f>
        <v/>
      </c>
      <c r="K9" s="25">
        <f>IF(J9=0,"Critical","")</f>
        <v/>
      </c>
    </row>
    <row r="10">
      <c r="A10" s="24">
        <f>'Task 1 Formal'!A10</f>
        <v/>
      </c>
      <c r="B10" s="13">
        <f>'Task 1 Formal'!C10</f>
        <v/>
      </c>
      <c r="C10" s="13">
        <f>'Task 1 Formal'!G10</f>
        <v/>
      </c>
      <c r="D10" s="13">
        <f>'Task 1 Formal'!H10</f>
        <v/>
      </c>
      <c r="E10" s="25" t="inlineStr">
        <is>
          <t>H</t>
        </is>
      </c>
      <c r="F10" s="25" t="n"/>
      <c r="G10" s="25" t="n"/>
      <c r="H10" s="14">
        <f>MIN($D$17,IFERROR(VLOOKUP(E10,$A11:$I$15,9,FALSE),$D$17),IFERROR(VLOOKUP(F10,$A11:$I$15,9,FALSE),$D$17),IFERROR(VLOOKUP(G10,$A11:$I$15,9,FALSE),$D$17))</f>
        <v/>
      </c>
      <c r="I10" s="14">
        <f>H10-B10</f>
        <v/>
      </c>
      <c r="J10" s="14">
        <f>I10-C10</f>
        <v/>
      </c>
      <c r="K10" s="25">
        <f>IF(J10=0,"Critical","")</f>
        <v/>
      </c>
      <c r="M10" s="9" t="inlineStr">
        <is>
          <t>3. LST = LFT − duration.  Float = LST − EST.  In column K, use IF to show "Critical" when the float is 0.</t>
        </is>
      </c>
    </row>
    <row r="11">
      <c r="A11" s="24">
        <f>'Task 1 Formal'!A11</f>
        <v/>
      </c>
      <c r="B11" s="13">
        <f>'Task 1 Formal'!C11</f>
        <v/>
      </c>
      <c r="C11" s="13">
        <f>'Task 1 Formal'!G11</f>
        <v/>
      </c>
      <c r="D11" s="13">
        <f>'Task 1 Formal'!H11</f>
        <v/>
      </c>
      <c r="E11" s="25" t="inlineStr">
        <is>
          <t>H</t>
        </is>
      </c>
      <c r="F11" s="25" t="n"/>
      <c r="G11" s="25" t="n"/>
      <c r="H11" s="14">
        <f>MIN($D$17,IFERROR(VLOOKUP(E11,$A12:$I$15,9,FALSE),$D$17),IFERROR(VLOOKUP(F11,$A12:$I$15,9,FALSE),$D$17),IFERROR(VLOOKUP(G11,$A12:$I$15,9,FALSE),$D$17))</f>
        <v/>
      </c>
      <c r="I11" s="14">
        <f>H11-B11</f>
        <v/>
      </c>
      <c r="J11" s="14">
        <f>I11-C11</f>
        <v/>
      </c>
      <c r="K11" s="25">
        <f>IF(J11=0,"Critical","")</f>
        <v/>
      </c>
    </row>
    <row r="12">
      <c r="A12" s="24">
        <f>'Task 1 Formal'!A12</f>
        <v/>
      </c>
      <c r="B12" s="13">
        <f>'Task 1 Formal'!C12</f>
        <v/>
      </c>
      <c r="C12" s="13">
        <f>'Task 1 Formal'!G12</f>
        <v/>
      </c>
      <c r="D12" s="13">
        <f>'Task 1 Formal'!H12</f>
        <v/>
      </c>
      <c r="E12" s="25" t="inlineStr">
        <is>
          <t>I</t>
        </is>
      </c>
      <c r="F12" s="25" t="n"/>
      <c r="G12" s="25" t="n"/>
      <c r="H12" s="14">
        <f>MIN($D$17,IFERROR(VLOOKUP(E12,$A13:$I$15,9,FALSE),$D$17),IFERROR(VLOOKUP(F12,$A13:$I$15,9,FALSE),$D$17),IFERROR(VLOOKUP(G12,$A13:$I$15,9,FALSE),$D$17))</f>
        <v/>
      </c>
      <c r="I12" s="14">
        <f>H12-B12</f>
        <v/>
      </c>
      <c r="J12" s="14">
        <f>I12-C12</f>
        <v/>
      </c>
      <c r="K12" s="25">
        <f>IF(J12=0,"Critical","")</f>
        <v/>
      </c>
      <c r="M12" s="9" t="inlineStr">
        <is>
          <t>4. Type the critical path in D18, for example A – B – C.</t>
        </is>
      </c>
    </row>
    <row r="13">
      <c r="A13" s="24">
        <f>'Task 1 Formal'!A13</f>
        <v/>
      </c>
      <c r="B13" s="13">
        <f>'Task 1 Formal'!C13</f>
        <v/>
      </c>
      <c r="C13" s="13">
        <f>'Task 1 Formal'!G13</f>
        <v/>
      </c>
      <c r="D13" s="13">
        <f>'Task 1 Formal'!H13</f>
        <v/>
      </c>
      <c r="E13" s="25" t="inlineStr">
        <is>
          <t>I</t>
        </is>
      </c>
      <c r="F13" s="25" t="n"/>
      <c r="G13" s="25" t="n"/>
      <c r="H13" s="14">
        <f>MIN($D$17,IFERROR(VLOOKUP(E13,$A14:$I$15,9,FALSE),$D$17),IFERROR(VLOOKUP(F13,$A14:$I$15,9,FALSE),$D$17),IFERROR(VLOOKUP(G13,$A14:$I$15,9,FALSE),$D$17))</f>
        <v/>
      </c>
      <c r="I13" s="14">
        <f>H13-B13</f>
        <v/>
      </c>
      <c r="J13" s="14">
        <f>I13-C13</f>
        <v/>
      </c>
      <c r="K13" s="25">
        <f>IF(J13=0,"Critical","")</f>
        <v/>
      </c>
      <c r="M13" s="15" t="inlineStr">
        <is>
          <t>Check: activity D should have LST 3 and float 1.</t>
        </is>
      </c>
    </row>
    <row r="14">
      <c r="A14" s="24">
        <f>'Task 1 Formal'!A14</f>
        <v/>
      </c>
      <c r="B14" s="13">
        <f>'Task 1 Formal'!C14</f>
        <v/>
      </c>
      <c r="C14" s="13">
        <f>'Task 1 Formal'!G14</f>
        <v/>
      </c>
      <c r="D14" s="13">
        <f>'Task 1 Formal'!H14</f>
        <v/>
      </c>
      <c r="E14" s="24" t="n"/>
      <c r="F14" s="24" t="n"/>
      <c r="G14" s="24" t="n"/>
      <c r="H14" s="13">
        <f>$D$17</f>
        <v/>
      </c>
      <c r="I14" s="13">
        <f>H14-B14</f>
        <v/>
      </c>
      <c r="J14" s="13">
        <f>I14-C14</f>
        <v/>
      </c>
      <c r="K14" s="24">
        <f>IF(J14=0,"Critical","")</f>
        <v/>
      </c>
    </row>
    <row r="15">
      <c r="M15" s="4" t="inlineStr">
        <is>
          <t>Questions – worked answers</t>
        </is>
      </c>
    </row>
    <row r="16">
      <c r="A16" s="4" t="inlineStr">
        <is>
          <t>Your calculations</t>
        </is>
      </c>
      <c r="M16" s="15" t="inlineStr">
        <is>
          <t>Q1.  Which activities are critical? Write the critical path.</t>
        </is>
      </c>
    </row>
    <row r="17">
      <c r="A17" s="6" t="inlineStr">
        <is>
          <t>Minimum completion time (from Task 1)</t>
        </is>
      </c>
      <c r="D17" s="13">
        <f>'Task 1 Formal'!C17</f>
        <v/>
      </c>
      <c r="M17" s="16" t="inlineStr">
        <is>
          <t>A – E – H – I. These have zero float, and their durations add to 10 days.</t>
        </is>
      </c>
      <c r="N17" s="17" t="n"/>
      <c r="O17" s="17" t="n"/>
      <c r="P17" s="17" t="n"/>
      <c r="Q17" s="17" t="n"/>
      <c r="R17" s="17" t="n"/>
      <c r="S17" s="17" t="n"/>
      <c r="T17" s="18" t="n"/>
    </row>
    <row r="18">
      <c r="A18" s="6" t="inlineStr">
        <is>
          <t>Critical path</t>
        </is>
      </c>
      <c r="D18" s="5" t="inlineStr">
        <is>
          <t>A – E – H – I</t>
        </is>
      </c>
      <c r="E18" s="26" t="n"/>
      <c r="F18" s="26" t="n"/>
      <c r="G18" s="27" t="n"/>
      <c r="M18" s="19" t="n"/>
      <c r="T18" s="20" t="n"/>
    </row>
    <row r="19">
      <c r="M19" s="21" t="n"/>
      <c r="N19" s="22" t="n"/>
      <c r="O19" s="22" t="n"/>
      <c r="P19" s="22" t="n"/>
      <c r="Q19" s="22" t="n"/>
      <c r="R19" s="22" t="n"/>
      <c r="S19" s="22" t="n"/>
      <c r="T19" s="23" t="n"/>
    </row>
    <row r="21">
      <c r="M21" s="15" t="inlineStr">
        <is>
          <t>Q2.  Which activity has the most float, and how much?</t>
        </is>
      </c>
    </row>
    <row r="22">
      <c r="M22" s="16" t="inlineStr">
        <is>
          <t>C (book a DJ) and F (arrange catering), with 2 days each.</t>
        </is>
      </c>
      <c r="N22" s="17" t="n"/>
      <c r="O22" s="17" t="n"/>
      <c r="P22" s="17" t="n"/>
      <c r="Q22" s="17" t="n"/>
      <c r="R22" s="17" t="n"/>
      <c r="S22" s="17" t="n"/>
      <c r="T22" s="18" t="n"/>
    </row>
    <row r="23">
      <c r="M23" s="19" t="n"/>
      <c r="T23" s="20" t="n"/>
    </row>
    <row r="24">
      <c r="M24" s="21" t="n"/>
      <c r="N24" s="22" t="n"/>
      <c r="O24" s="22" t="n"/>
      <c r="P24" s="22" t="n"/>
      <c r="Q24" s="22" t="n"/>
      <c r="R24" s="22" t="n"/>
      <c r="S24" s="22" t="n"/>
      <c r="T24" s="23" t="n"/>
    </row>
    <row r="26">
      <c r="M26" s="15" t="inlineStr">
        <is>
          <t>Q3.  What does the float of activity F (arrange catering) mean for the person organising the catering?</t>
        </is>
      </c>
    </row>
    <row r="27"/>
    <row r="28">
      <c r="M28" s="16" t="inlineStr">
        <is>
          <t>F has 2 days of float. Its EST is day 3 but it can start as late as day 5 without delaying the formal.</t>
        </is>
      </c>
      <c r="N28" s="17" t="n"/>
      <c r="O28" s="17" t="n"/>
      <c r="P28" s="17" t="n"/>
      <c r="Q28" s="17" t="n"/>
      <c r="R28" s="17" t="n"/>
      <c r="S28" s="17" t="n"/>
      <c r="T28" s="18" t="n"/>
    </row>
    <row r="29">
      <c r="M29" s="19" t="n"/>
      <c r="T29" s="20" t="n"/>
    </row>
    <row r="30">
      <c r="M30" s="21" t="n"/>
      <c r="N30" s="22" t="n"/>
      <c r="O30" s="22" t="n"/>
      <c r="P30" s="22" t="n"/>
      <c r="Q30" s="22" t="n"/>
      <c r="R30" s="22" t="n"/>
      <c r="S30" s="22" t="n"/>
      <c r="T30" s="23" t="n"/>
    </row>
    <row r="32">
      <c r="M32" s="15" t="inlineStr">
        <is>
          <t>Q4.  Can booking the DJ (C) be delayed by 3 days without delaying the formal? Explain using its float.</t>
        </is>
      </c>
    </row>
    <row r="33"/>
    <row r="34">
      <c r="M34" s="16" t="inlineStr">
        <is>
          <t>No. C has only 2 days of float, so a 3-day delay would delay the formal by 1 day.</t>
        </is>
      </c>
      <c r="N34" s="17" t="n"/>
      <c r="O34" s="17" t="n"/>
      <c r="P34" s="17" t="n"/>
      <c r="Q34" s="17" t="n"/>
      <c r="R34" s="17" t="n"/>
      <c r="S34" s="17" t="n"/>
      <c r="T34" s="18" t="n"/>
    </row>
    <row r="35">
      <c r="M35" s="19" t="n"/>
      <c r="T35" s="20" t="n"/>
    </row>
    <row r="36">
      <c r="M36" s="21" t="n"/>
      <c r="N36" s="22" t="n"/>
      <c r="O36" s="22" t="n"/>
      <c r="P36" s="22" t="n"/>
      <c r="Q36" s="22" t="n"/>
      <c r="R36" s="22" t="n"/>
      <c r="S36" s="22" t="n"/>
      <c r="T36" s="23" t="n"/>
    </row>
  </sheetData>
  <mergeCells count="16">
    <mergeCell ref="A1:T1"/>
    <mergeCell ref="M13:T13"/>
    <mergeCell ref="D18:G18"/>
    <mergeCell ref="M22:T24"/>
    <mergeCell ref="M16:T16"/>
    <mergeCell ref="M7:T9"/>
    <mergeCell ref="M12:T12"/>
    <mergeCell ref="M34:T36"/>
    <mergeCell ref="M21:T21"/>
    <mergeCell ref="M28:T30"/>
    <mergeCell ref="A2:T2"/>
    <mergeCell ref="M26:T27"/>
    <mergeCell ref="M10:T11"/>
    <mergeCell ref="M5:T6"/>
    <mergeCell ref="M32:T33"/>
    <mergeCell ref="M17:T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3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9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10" customWidth="1" min="15" max="15"/>
    <col width="3" customWidth="1" min="16" max="16"/>
    <col width="13" customWidth="1" min="17" max="17"/>
    <col width="3" customWidth="1" min="25" max="25"/>
  </cols>
  <sheetData>
    <row r="1" ht="31.5" customHeight="1">
      <c r="A1" s="1" t="inlineStr">
        <is>
          <t>Task 3   A community heritage project</t>
        </is>
      </c>
    </row>
    <row r="2" ht="30" customHeight="1">
      <c r="A2" s="2" t="inlineStr">
        <is>
          <t>A local council is working with Aboriginal Elders, Traditional Owners and the historical society to restore an old building and open it as a cultural heritage centre. Durations are in weeks.</t>
        </is>
      </c>
    </row>
    <row r="4">
      <c r="A4" s="4" t="inlineStr">
        <is>
          <t>Precedence table</t>
        </is>
      </c>
      <c r="Q4" s="4" t="inlineStr">
        <is>
          <t>What to do</t>
        </is>
      </c>
    </row>
    <row r="5" ht="31.5" customHeight="1">
      <c r="A5" s="8" t="inlineStr">
        <is>
          <t>Activity</t>
        </is>
      </c>
      <c r="B5" s="8" t="inlineStr">
        <is>
          <t>Task</t>
        </is>
      </c>
      <c r="C5" s="8" t="inlineStr">
        <is>
          <t>Duration (weeks)</t>
        </is>
      </c>
      <c r="D5" s="8" t="inlineStr">
        <is>
          <t>Pred. 1</t>
        </is>
      </c>
      <c r="E5" s="8" t="inlineStr">
        <is>
          <t>Pred. 2</t>
        </is>
      </c>
      <c r="F5" s="8" t="inlineStr">
        <is>
          <t>Pred. 3</t>
        </is>
      </c>
      <c r="G5" s="8" t="inlineStr">
        <is>
          <t>Succ. 1</t>
        </is>
      </c>
      <c r="H5" s="8" t="inlineStr">
        <is>
          <t>Succ. 2</t>
        </is>
      </c>
      <c r="I5" s="8" t="inlineStr">
        <is>
          <t>Succ. 3</t>
        </is>
      </c>
      <c r="J5" s="8" t="inlineStr">
        <is>
          <t>EST</t>
        </is>
      </c>
      <c r="K5" s="8" t="inlineStr">
        <is>
          <t>EFT</t>
        </is>
      </c>
      <c r="L5" s="8" t="inlineStr">
        <is>
          <t>LFT</t>
        </is>
      </c>
      <c r="M5" s="8" t="inlineStr">
        <is>
          <t>LST</t>
        </is>
      </c>
      <c r="N5" s="8" t="inlineStr">
        <is>
          <t>Float</t>
        </is>
      </c>
      <c r="O5" s="8" t="inlineStr">
        <is>
          <t>Critical?</t>
        </is>
      </c>
      <c r="Q5" s="9" t="inlineStr">
        <is>
          <t>1. Forward scan: fill in the EST and EFT of every activity, working down. Activity A is done for you.</t>
        </is>
      </c>
    </row>
    <row r="6">
      <c r="A6" s="10" t="inlineStr">
        <is>
          <t>A</t>
        </is>
      </c>
      <c r="B6" s="11" t="inlineStr">
        <is>
          <t>Consult Elders and Traditional Owners</t>
        </is>
      </c>
      <c r="C6" s="12" t="n">
        <v>3</v>
      </c>
      <c r="D6" s="10" t="n"/>
      <c r="E6" s="10" t="n"/>
      <c r="F6" s="10" t="n"/>
      <c r="G6" s="10" t="inlineStr">
        <is>
          <t>C</t>
        </is>
      </c>
      <c r="H6" s="10" t="inlineStr">
        <is>
          <t>D</t>
        </is>
      </c>
      <c r="I6" s="10" t="inlineStr">
        <is>
          <t>F</t>
        </is>
      </c>
      <c r="J6" s="13" t="n">
        <v>0</v>
      </c>
      <c r="K6" s="13">
        <f>J6+C6</f>
        <v/>
      </c>
      <c r="L6" s="14">
        <f>MIN($C$18,IFERROR(VLOOKUP(G6,$A7:$M$16,13,FALSE),$C$18),IFERROR(VLOOKUP(H6,$A7:$M$16,13,FALSE),$C$18),IFERROR(VLOOKUP(I6,$A7:$M$16,13,FALSE),$C$18))</f>
        <v/>
      </c>
      <c r="M6" s="14">
        <f>L6-C6</f>
        <v/>
      </c>
      <c r="N6" s="14">
        <f>M6-J6</f>
        <v/>
      </c>
      <c r="O6" s="25">
        <f>IF(N6=0,"Critical","")</f>
        <v/>
      </c>
    </row>
    <row r="7">
      <c r="A7" s="10" t="inlineStr">
        <is>
          <t>B</t>
        </is>
      </c>
      <c r="B7" s="11" t="inlineStr">
        <is>
          <t>Survey the site</t>
        </is>
      </c>
      <c r="C7" s="12" t="n">
        <v>2</v>
      </c>
      <c r="D7" s="10" t="n"/>
      <c r="E7" s="10" t="n"/>
      <c r="F7" s="10" t="n"/>
      <c r="G7" s="10" t="inlineStr">
        <is>
          <t>D</t>
        </is>
      </c>
      <c r="H7" s="10" t="n"/>
      <c r="I7" s="10" t="n"/>
      <c r="J7" s="14">
        <f>MAX(0,IFERROR(VLOOKUP(D7,$A$5:$K6,11,FALSE),0),IFERROR(VLOOKUP(E7,$A$5:$K6,11,FALSE),0),IFERROR(VLOOKUP(F7,$A$5:$K6,11,FALSE),0))</f>
        <v/>
      </c>
      <c r="K7" s="14">
        <f>J7+C7</f>
        <v/>
      </c>
      <c r="L7" s="14">
        <f>MIN($C$18,IFERROR(VLOOKUP(G7,$A8:$M$16,13,FALSE),$C$18),IFERROR(VLOOKUP(H7,$A8:$M$16,13,FALSE),$C$18),IFERROR(VLOOKUP(I7,$A8:$M$16,13,FALSE),$C$18))</f>
        <v/>
      </c>
      <c r="M7" s="14">
        <f>L7-C7</f>
        <v/>
      </c>
      <c r="N7" s="14">
        <f>M7-J7</f>
        <v/>
      </c>
      <c r="O7" s="25">
        <f>IF(N7=0,"Critical","")</f>
        <v/>
      </c>
      <c r="Q7" s="9" t="inlineStr">
        <is>
          <t>2. Find the minimum completion time in C18.</t>
        </is>
      </c>
    </row>
    <row r="8">
      <c r="A8" s="10" t="inlineStr">
        <is>
          <t>C</t>
        </is>
      </c>
      <c r="B8" s="11" t="inlineStr">
        <is>
          <t>Research historical records</t>
        </is>
      </c>
      <c r="C8" s="12" t="n">
        <v>4</v>
      </c>
      <c r="D8" s="10" t="inlineStr">
        <is>
          <t>A</t>
        </is>
      </c>
      <c r="E8" s="10" t="n"/>
      <c r="F8" s="10" t="n"/>
      <c r="G8" s="10" t="inlineStr">
        <is>
          <t>E</t>
        </is>
      </c>
      <c r="H8" s="10" t="n"/>
      <c r="I8" s="10" t="n"/>
      <c r="J8" s="14">
        <f>MAX(0,IFERROR(VLOOKUP(D8,$A$5:$K7,11,FALSE),0),IFERROR(VLOOKUP(E8,$A$5:$K7,11,FALSE),0),IFERROR(VLOOKUP(F8,$A$5:$K7,11,FALSE),0))</f>
        <v/>
      </c>
      <c r="K8" s="14">
        <f>J8+C8</f>
        <v/>
      </c>
      <c r="L8" s="14">
        <f>MIN($C$18,IFERROR(VLOOKUP(G8,$A9:$M$16,13,FALSE),$C$18),IFERROR(VLOOKUP(H8,$A9:$M$16,13,FALSE),$C$18),IFERROR(VLOOKUP(I8,$A9:$M$16,13,FALSE),$C$18))</f>
        <v/>
      </c>
      <c r="M8" s="14">
        <f>L8-C8</f>
        <v/>
      </c>
      <c r="N8" s="14">
        <f>M8-J8</f>
        <v/>
      </c>
      <c r="O8" s="25">
        <f>IF(N8=0,"Critical","")</f>
        <v/>
      </c>
      <c r="Q8" s="9" t="inlineStr">
        <is>
          <t>3. Backward scan: fill in the LFT and LST of every activity, working up from J. Then find each float and use IF to mark the critical activities.</t>
        </is>
      </c>
    </row>
    <row r="9">
      <c r="A9" s="10" t="inlineStr">
        <is>
          <t>D</t>
        </is>
      </c>
      <c r="B9" s="11" t="inlineStr">
        <is>
          <t>Apply for heritage permits</t>
        </is>
      </c>
      <c r="C9" s="12" t="n">
        <v>3</v>
      </c>
      <c r="D9" s="10" t="inlineStr">
        <is>
          <t>A</t>
        </is>
      </c>
      <c r="E9" s="10" t="inlineStr">
        <is>
          <t>B</t>
        </is>
      </c>
      <c r="F9" s="10" t="n"/>
      <c r="G9" s="10" t="inlineStr">
        <is>
          <t>G</t>
        </is>
      </c>
      <c r="H9" s="10" t="n"/>
      <c r="I9" s="10" t="n"/>
      <c r="J9" s="14">
        <f>MAX(0,IFERROR(VLOOKUP(D9,$A$5:$K8,11,FALSE),0),IFERROR(VLOOKUP(E9,$A$5:$K8,11,FALSE),0),IFERROR(VLOOKUP(F9,$A$5:$K8,11,FALSE),0))</f>
        <v/>
      </c>
      <c r="K9" s="14">
        <f>J9+C9</f>
        <v/>
      </c>
      <c r="L9" s="14">
        <f>MIN($C$18,IFERROR(VLOOKUP(G9,$A10:$M$16,13,FALSE),$C$18),IFERROR(VLOOKUP(H9,$A10:$M$16,13,FALSE),$C$18),IFERROR(VLOOKUP(I9,$A10:$M$16,13,FALSE),$C$18))</f>
        <v/>
      </c>
      <c r="M9" s="14">
        <f>L9-C9</f>
        <v/>
      </c>
      <c r="N9" s="14">
        <f>M9-J9</f>
        <v/>
      </c>
      <c r="O9" s="25">
        <f>IF(N9=0,"Critical","")</f>
        <v/>
      </c>
    </row>
    <row r="10">
      <c r="A10" s="10" t="inlineStr">
        <is>
          <t>E</t>
        </is>
      </c>
      <c r="B10" s="11" t="inlineStr">
        <is>
          <t>Design interpretive signs</t>
        </is>
      </c>
      <c r="C10" s="12" t="n">
        <v>3</v>
      </c>
      <c r="D10" s="10" t="inlineStr">
        <is>
          <t>C</t>
        </is>
      </c>
      <c r="E10" s="10" t="n"/>
      <c r="F10" s="10" t="n"/>
      <c r="G10" s="10" t="inlineStr">
        <is>
          <t>H</t>
        </is>
      </c>
      <c r="H10" s="10" t="n"/>
      <c r="I10" s="10" t="n"/>
      <c r="J10" s="14">
        <f>MAX(0,IFERROR(VLOOKUP(D10,$A$5:$K9,11,FALSE),0),IFERROR(VLOOKUP(E10,$A$5:$K9,11,FALSE),0),IFERROR(VLOOKUP(F10,$A$5:$K9,11,FALSE),0))</f>
        <v/>
      </c>
      <c r="K10" s="14">
        <f>J10+C10</f>
        <v/>
      </c>
      <c r="L10" s="14">
        <f>MIN($C$18,IFERROR(VLOOKUP(G10,$A11:$M$16,13,FALSE),$C$18),IFERROR(VLOOKUP(H10,$A11:$M$16,13,FALSE),$C$18),IFERROR(VLOOKUP(I10,$A11:$M$16,13,FALSE),$C$18))</f>
        <v/>
      </c>
      <c r="M10" s="14">
        <f>L10-C10</f>
        <v/>
      </c>
      <c r="N10" s="14">
        <f>M10-J10</f>
        <v/>
      </c>
      <c r="O10" s="25">
        <f>IF(N10=0,"Critical","")</f>
        <v/>
      </c>
      <c r="Q10" s="9" t="inlineStr">
        <is>
          <t>4. Type the critical path in C19.</t>
        </is>
      </c>
    </row>
    <row r="11">
      <c r="A11" s="10" t="inlineStr">
        <is>
          <t>F</t>
        </is>
      </c>
      <c r="B11" s="11" t="inlineStr">
        <is>
          <t>Record oral histories</t>
        </is>
      </c>
      <c r="C11" s="12" t="n">
        <v>5</v>
      </c>
      <c r="D11" s="10" t="inlineStr">
        <is>
          <t>A</t>
        </is>
      </c>
      <c r="E11" s="10" t="n"/>
      <c r="F11" s="10" t="n"/>
      <c r="G11" s="10" t="inlineStr">
        <is>
          <t>I</t>
        </is>
      </c>
      <c r="H11" s="10" t="n"/>
      <c r="I11" s="10" t="n"/>
      <c r="J11" s="14">
        <f>MAX(0,IFERROR(VLOOKUP(D11,$A$5:$K10,11,FALSE),0),IFERROR(VLOOKUP(E11,$A$5:$K10,11,FALSE),0),IFERROR(VLOOKUP(F11,$A$5:$K10,11,FALSE),0))</f>
        <v/>
      </c>
      <c r="K11" s="14">
        <f>J11+C11</f>
        <v/>
      </c>
      <c r="L11" s="14">
        <f>MIN($C$18,IFERROR(VLOOKUP(G11,$A12:$M$16,13,FALSE),$C$18),IFERROR(VLOOKUP(H11,$A12:$M$16,13,FALSE),$C$18),IFERROR(VLOOKUP(I11,$A12:$M$16,13,FALSE),$C$18))</f>
        <v/>
      </c>
      <c r="M11" s="14">
        <f>L11-C11</f>
        <v/>
      </c>
      <c r="N11" s="14">
        <f>M11-J11</f>
        <v/>
      </c>
      <c r="O11" s="25">
        <f>IF(N11=0,"Critical","")</f>
        <v/>
      </c>
      <c r="Q11" s="9" t="inlineStr">
        <is>
          <t>5. Insert a Gantt chart: select the Activity, EST and Duration columns (hold Ctrl or Cmd to select columns that are apart), insert a stacked bar chart, then format the EST series to have no fill. Reverse the order of the categories so A is at the top.</t>
        </is>
      </c>
    </row>
    <row r="12">
      <c r="A12" s="10" t="inlineStr">
        <is>
          <t>G</t>
        </is>
      </c>
      <c r="B12" s="11" t="inlineStr">
        <is>
          <t>Restore the building</t>
        </is>
      </c>
      <c r="C12" s="12" t="n">
        <v>6</v>
      </c>
      <c r="D12" s="10" t="inlineStr">
        <is>
          <t>D</t>
        </is>
      </c>
      <c r="E12" s="10" t="n"/>
      <c r="F12" s="10" t="n"/>
      <c r="G12" s="10" t="inlineStr">
        <is>
          <t>H</t>
        </is>
      </c>
      <c r="H12" s="10" t="n"/>
      <c r="I12" s="10" t="n"/>
      <c r="J12" s="14">
        <f>MAX(0,IFERROR(VLOOKUP(D12,$A$5:$K11,11,FALSE),0),IFERROR(VLOOKUP(E12,$A$5:$K11,11,FALSE),0),IFERROR(VLOOKUP(F12,$A$5:$K11,11,FALSE),0))</f>
        <v/>
      </c>
      <c r="K12" s="14">
        <f>J12+C12</f>
        <v/>
      </c>
      <c r="L12" s="14">
        <f>MIN($C$18,IFERROR(VLOOKUP(G12,$A13:$M$16,13,FALSE),$C$18),IFERROR(VLOOKUP(H12,$A13:$M$16,13,FALSE),$C$18),IFERROR(VLOOKUP(I12,$A13:$M$16,13,FALSE),$C$18))</f>
        <v/>
      </c>
      <c r="M12" s="14">
        <f>L12-C12</f>
        <v/>
      </c>
      <c r="N12" s="14">
        <f>M12-J12</f>
        <v/>
      </c>
      <c r="O12" s="25">
        <f>IF(N12=0,"Critical","")</f>
        <v/>
      </c>
    </row>
    <row r="13">
      <c r="A13" s="10" t="inlineStr">
        <is>
          <t>H</t>
        </is>
      </c>
      <c r="B13" s="11" t="inlineStr">
        <is>
          <t>Install the signs</t>
        </is>
      </c>
      <c r="C13" s="12" t="n">
        <v>2</v>
      </c>
      <c r="D13" s="10" t="inlineStr">
        <is>
          <t>E</t>
        </is>
      </c>
      <c r="E13" s="10" t="inlineStr">
        <is>
          <t>G</t>
        </is>
      </c>
      <c r="F13" s="10" t="n"/>
      <c r="G13" s="10" t="inlineStr">
        <is>
          <t>J</t>
        </is>
      </c>
      <c r="H13" s="10" t="n"/>
      <c r="I13" s="10" t="n"/>
      <c r="J13" s="14">
        <f>MAX(0,IFERROR(VLOOKUP(D13,$A$5:$K12,11,FALSE),0),IFERROR(VLOOKUP(E13,$A$5:$K12,11,FALSE),0),IFERROR(VLOOKUP(F13,$A$5:$K12,11,FALSE),0))</f>
        <v/>
      </c>
      <c r="K13" s="14">
        <f>J13+C13</f>
        <v/>
      </c>
      <c r="L13" s="14">
        <f>MIN($C$18,IFERROR(VLOOKUP(G13,$A14:$M$16,13,FALSE),$C$18),IFERROR(VLOOKUP(H13,$A14:$M$16,13,FALSE),$C$18),IFERROR(VLOOKUP(I13,$A14:$M$16,13,FALSE),$C$18))</f>
        <v/>
      </c>
      <c r="M13" s="14">
        <f>L13-C13</f>
        <v/>
      </c>
      <c r="N13" s="14">
        <f>M13-J13</f>
        <v/>
      </c>
      <c r="O13" s="25">
        <f>IF(N13=0,"Critical","")</f>
        <v/>
      </c>
    </row>
    <row r="14">
      <c r="A14" s="10" t="inlineStr">
        <is>
          <t>I</t>
        </is>
      </c>
      <c r="B14" s="11" t="inlineStr">
        <is>
          <t>Build the online archive</t>
        </is>
      </c>
      <c r="C14" s="12" t="n">
        <v>3</v>
      </c>
      <c r="D14" s="10" t="inlineStr">
        <is>
          <t>F</t>
        </is>
      </c>
      <c r="E14" s="10" t="n"/>
      <c r="F14" s="10" t="n"/>
      <c r="G14" s="10" t="inlineStr">
        <is>
          <t>J</t>
        </is>
      </c>
      <c r="H14" s="10" t="n"/>
      <c r="I14" s="10" t="n"/>
      <c r="J14" s="14">
        <f>MAX(0,IFERROR(VLOOKUP(D14,$A$5:$K13,11,FALSE),0),IFERROR(VLOOKUP(E14,$A$5:$K13,11,FALSE),0),IFERROR(VLOOKUP(F14,$A$5:$K13,11,FALSE),0))</f>
        <v/>
      </c>
      <c r="K14" s="14">
        <f>J14+C14</f>
        <v/>
      </c>
      <c r="L14" s="14">
        <f>MIN($C$18,IFERROR(VLOOKUP(G14,$A15:$M$16,13,FALSE),$C$18),IFERROR(VLOOKUP(H14,$A15:$M$16,13,FALSE),$C$18),IFERROR(VLOOKUP(I14,$A15:$M$16,13,FALSE),$C$18))</f>
        <v/>
      </c>
      <c r="M14" s="14">
        <f>L14-C14</f>
        <v/>
      </c>
      <c r="N14" s="14">
        <f>M14-J14</f>
        <v/>
      </c>
      <c r="O14" s="25">
        <f>IF(N14=0,"Critical","")</f>
        <v/>
      </c>
    </row>
    <row r="15">
      <c r="A15" s="10" t="inlineStr">
        <is>
          <t>J</t>
        </is>
      </c>
      <c r="B15" s="11" t="inlineStr">
        <is>
          <t>Opening ceremony</t>
        </is>
      </c>
      <c r="C15" s="12" t="n">
        <v>1</v>
      </c>
      <c r="D15" s="10" t="inlineStr">
        <is>
          <t>H</t>
        </is>
      </c>
      <c r="E15" s="10" t="inlineStr">
        <is>
          <t>I</t>
        </is>
      </c>
      <c r="F15" s="10" t="n"/>
      <c r="G15" s="10" t="n"/>
      <c r="H15" s="10" t="n"/>
      <c r="I15" s="10" t="n"/>
      <c r="J15" s="14">
        <f>MAX(0,IFERROR(VLOOKUP(D15,$A$5:$K14,11,FALSE),0),IFERROR(VLOOKUP(E15,$A$5:$K14,11,FALSE),0),IFERROR(VLOOKUP(F15,$A$5:$K14,11,FALSE),0))</f>
        <v/>
      </c>
      <c r="K15" s="14">
        <f>J15+C15</f>
        <v/>
      </c>
      <c r="L15" s="14">
        <f>MIN($C$18,IFERROR(VLOOKUP(G15,$A16:$M$16,13,FALSE),$C$18),IFERROR(VLOOKUP(H15,$A16:$M$16,13,FALSE),$C$18),IFERROR(VLOOKUP(I15,$A16:$M$16,13,FALSE),$C$18))</f>
        <v/>
      </c>
      <c r="M15" s="14">
        <f>L15-C15</f>
        <v/>
      </c>
      <c r="N15" s="14">
        <f>M15-J15</f>
        <v/>
      </c>
      <c r="O15" s="25">
        <f>IF(N15=0,"Critical","")</f>
        <v/>
      </c>
      <c r="Q15" s="15" t="inlineStr">
        <is>
          <t>Check: activity F should have EST 3 and float 3.</t>
        </is>
      </c>
    </row>
    <row r="17">
      <c r="A17" s="4" t="inlineStr">
        <is>
          <t>Your calculations</t>
        </is>
      </c>
      <c r="Q17" s="4" t="inlineStr">
        <is>
          <t>Questions – worked answers</t>
        </is>
      </c>
    </row>
    <row r="18">
      <c r="A18" s="6" t="inlineStr">
        <is>
          <t>Minimum completion time (weeks)</t>
        </is>
      </c>
      <c r="C18" s="14">
        <f>MAX(K6:K15)</f>
        <v/>
      </c>
      <c r="Q18" s="15" t="inlineStr">
        <is>
          <t>Q1.  What is the minimum completion time for the project?</t>
        </is>
      </c>
    </row>
    <row r="19">
      <c r="A19" s="6" t="inlineStr">
        <is>
          <t>Critical path</t>
        </is>
      </c>
      <c r="C19" s="5" t="inlineStr">
        <is>
          <t>A – D – G – H – J</t>
        </is>
      </c>
      <c r="D19" s="26" t="n"/>
      <c r="E19" s="26" t="n"/>
      <c r="F19" s="26" t="n"/>
      <c r="G19" s="27" t="n"/>
      <c r="Q19" s="16" t="inlineStr">
        <is>
          <t>15 weeks.</t>
        </is>
      </c>
      <c r="R19" s="17" t="n"/>
      <c r="S19" s="17" t="n"/>
      <c r="T19" s="17" t="n"/>
      <c r="U19" s="17" t="n"/>
      <c r="V19" s="17" t="n"/>
      <c r="W19" s="17" t="n"/>
      <c r="X19" s="18" t="n"/>
    </row>
    <row r="20">
      <c r="Q20" s="19" t="n"/>
      <c r="X20" s="20" t="n"/>
    </row>
    <row r="21">
      <c r="Q21" s="21" t="n"/>
      <c r="R21" s="22" t="n"/>
      <c r="S21" s="22" t="n"/>
      <c r="T21" s="22" t="n"/>
      <c r="U21" s="22" t="n"/>
      <c r="V21" s="22" t="n"/>
      <c r="W21" s="22" t="n"/>
      <c r="X21" s="23" t="n"/>
    </row>
    <row r="23">
      <c r="Q23" s="15" t="inlineStr">
        <is>
          <t>Q2.  What is the critical path? Check that its durations add up to the minimum completion time.</t>
        </is>
      </c>
    </row>
    <row r="24"/>
    <row r="25">
      <c r="Q25" s="16" t="inlineStr">
        <is>
          <t>A – D – G – H – J:  3 + 3 + 6 + 2 + 1 = 15 weeks.</t>
        </is>
      </c>
      <c r="R25" s="17" t="n"/>
      <c r="S25" s="17" t="n"/>
      <c r="T25" s="17" t="n"/>
      <c r="U25" s="17" t="n"/>
      <c r="V25" s="17" t="n"/>
      <c r="W25" s="17" t="n"/>
      <c r="X25" s="18" t="n"/>
    </row>
    <row r="26">
      <c r="Q26" s="19" t="n"/>
      <c r="X26" s="20" t="n"/>
    </row>
    <row r="27">
      <c r="Q27" s="21" t="n"/>
      <c r="R27" s="22" t="n"/>
      <c r="S27" s="22" t="n"/>
      <c r="T27" s="22" t="n"/>
      <c r="U27" s="22" t="n"/>
      <c r="V27" s="22" t="n"/>
      <c r="W27" s="22" t="n"/>
      <c r="X27" s="23" t="n"/>
    </row>
    <row r="29">
      <c r="Q29" s="15" t="inlineStr">
        <is>
          <t>Q3.  Use your Gantt chart. Which activities are under way during week 8 (between time 7 and time 8)?</t>
        </is>
      </c>
    </row>
    <row r="30"/>
    <row r="31">
      <c r="Q31" s="16" t="inlineStr">
        <is>
          <t>E, F and G – their bars cross the 7 to 8 mark.</t>
        </is>
      </c>
      <c r="R31" s="17" t="n"/>
      <c r="S31" s="17" t="n"/>
      <c r="T31" s="17" t="n"/>
      <c r="U31" s="17" t="n"/>
      <c r="V31" s="17" t="n"/>
      <c r="W31" s="17" t="n"/>
      <c r="X31" s="18" t="n"/>
    </row>
    <row r="32">
      <c r="Q32" s="19" t="n"/>
      <c r="X32" s="20" t="n"/>
    </row>
    <row r="33">
      <c r="Q33" s="21" t="n"/>
      <c r="R33" s="22" t="n"/>
      <c r="S33" s="22" t="n"/>
      <c r="T33" s="22" t="n"/>
      <c r="U33" s="22" t="n"/>
      <c r="V33" s="22" t="n"/>
      <c r="W33" s="22" t="n"/>
      <c r="X33" s="23" t="n"/>
    </row>
    <row r="35">
      <c r="Q35" s="15" t="inlineStr">
        <is>
          <t>Q4.  Which non-critical activity can be delayed the longest without delaying the opening? By how many weeks?</t>
        </is>
      </c>
    </row>
    <row r="36"/>
    <row r="37">
      <c r="Q37" s="16" t="inlineStr">
        <is>
          <t>F (record oral histories) and I (build the online archive) – each has 3 weeks of float.</t>
        </is>
      </c>
      <c r="R37" s="17" t="n"/>
      <c r="S37" s="17" t="n"/>
      <c r="T37" s="17" t="n"/>
      <c r="U37" s="17" t="n"/>
      <c r="V37" s="17" t="n"/>
      <c r="W37" s="17" t="n"/>
      <c r="X37" s="18" t="n"/>
    </row>
    <row r="38">
      <c r="Q38" s="19" t="n"/>
      <c r="X38" s="20" t="n"/>
    </row>
    <row r="39">
      <c r="Q39" s="21" t="n"/>
      <c r="R39" s="22" t="n"/>
      <c r="S39" s="22" t="n"/>
      <c r="T39" s="22" t="n"/>
      <c r="U39" s="22" t="n"/>
      <c r="V39" s="22" t="n"/>
      <c r="W39" s="22" t="n"/>
      <c r="X39" s="23" t="n"/>
    </row>
  </sheetData>
  <mergeCells count="17">
    <mergeCell ref="Q31:X33"/>
    <mergeCell ref="Q7:X7"/>
    <mergeCell ref="Q8:X9"/>
    <mergeCell ref="A2:X2"/>
    <mergeCell ref="Q25:X27"/>
    <mergeCell ref="Q37:X39"/>
    <mergeCell ref="Q19:X21"/>
    <mergeCell ref="C19:G19"/>
    <mergeCell ref="Q11:X14"/>
    <mergeCell ref="Q15:X15"/>
    <mergeCell ref="Q29:X30"/>
    <mergeCell ref="A1:X1"/>
    <mergeCell ref="Q23:X24"/>
    <mergeCell ref="Q10:X10"/>
    <mergeCell ref="Q18:X18"/>
    <mergeCell ref="Q5:X6"/>
    <mergeCell ref="Q35:X36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3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10" customWidth="1" min="3" max="3"/>
    <col width="9" customWidth="1" min="4" max="4"/>
    <col width="10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10" customWidth="1" min="15" max="15"/>
    <col width="3" customWidth="1" min="16" max="16"/>
    <col width="13" customWidth="1" min="17" max="17"/>
    <col width="3" customWidth="1" min="25" max="25"/>
  </cols>
  <sheetData>
    <row r="1" ht="31.5" customHeight="1">
      <c r="A1" s="1" t="inlineStr">
        <is>
          <t>Task 4   Building a community garden: what if?</t>
        </is>
      </c>
    </row>
    <row r="2" ht="30" customHeight="1">
      <c r="A2" s="2" t="inlineStr">
        <is>
          <t>This model of a community garden build is already finished. Use it to see what happens when activities are delayed or sped up. Durations are in days.</t>
        </is>
      </c>
    </row>
    <row r="4">
      <c r="A4" s="4" t="inlineStr">
        <is>
          <t>The model – change only column D</t>
        </is>
      </c>
      <c r="Q4" s="4" t="inlineStr">
        <is>
          <t>What to do</t>
        </is>
      </c>
    </row>
    <row r="5" ht="31.5" customHeight="1">
      <c r="A5" s="8" t="inlineStr">
        <is>
          <t>Activity</t>
        </is>
      </c>
      <c r="B5" s="8" t="inlineStr">
        <is>
          <t>Task</t>
        </is>
      </c>
      <c r="C5" s="8" t="inlineStr">
        <is>
          <t>Original duration</t>
        </is>
      </c>
      <c r="D5" s="8" t="inlineStr">
        <is>
          <t>Change (days)</t>
        </is>
      </c>
      <c r="E5" s="8" t="inlineStr">
        <is>
          <t>New duration</t>
        </is>
      </c>
      <c r="F5" s="8" t="inlineStr">
        <is>
          <t>Pred. 1</t>
        </is>
      </c>
      <c r="G5" s="8" t="inlineStr">
        <is>
          <t>Pred. 2</t>
        </is>
      </c>
      <c r="H5" s="8" t="inlineStr">
        <is>
          <t>EST</t>
        </is>
      </c>
      <c r="I5" s="8" t="inlineStr">
        <is>
          <t>EFT</t>
        </is>
      </c>
      <c r="J5" s="8" t="inlineStr">
        <is>
          <t>Succ. 1</t>
        </is>
      </c>
      <c r="K5" s="8" t="inlineStr">
        <is>
          <t>Succ. 2</t>
        </is>
      </c>
      <c r="L5" s="8" t="inlineStr">
        <is>
          <t>LFT</t>
        </is>
      </c>
      <c r="M5" s="8" t="inlineStr">
        <is>
          <t>LST</t>
        </is>
      </c>
      <c r="N5" s="8" t="inlineStr">
        <is>
          <t>Float</t>
        </is>
      </c>
      <c r="O5" s="8" t="inlineStr">
        <is>
          <t>Critical?</t>
        </is>
      </c>
      <c r="Q5" s="9" t="inlineStr">
        <is>
          <t>1. Every formula in this model is already written. Read a few to see how they work.</t>
        </is>
      </c>
    </row>
    <row r="6">
      <c r="A6" s="24" t="inlineStr">
        <is>
          <t>A</t>
        </is>
      </c>
      <c r="B6" s="28" t="inlineStr">
        <is>
          <t>Clear the site</t>
        </is>
      </c>
      <c r="C6" s="13" t="n">
        <v>2</v>
      </c>
      <c r="D6" s="12" t="n">
        <v>0</v>
      </c>
      <c r="E6" s="13">
        <f>C6+D6</f>
        <v/>
      </c>
      <c r="F6" s="24" t="n"/>
      <c r="G6" s="24" t="n"/>
      <c r="H6" s="13">
        <f>MAX(0,IFERROR(VLOOKUP(F6,$A$5:$I5,9,FALSE),0),IFERROR(VLOOKUP(G6,$A$5:$I5,9,FALSE),0))</f>
        <v/>
      </c>
      <c r="I6" s="13">
        <f>H6+E6</f>
        <v/>
      </c>
      <c r="J6" s="24" t="inlineStr">
        <is>
          <t>C</t>
        </is>
      </c>
      <c r="K6" s="24" t="inlineStr">
        <is>
          <t>D</t>
        </is>
      </c>
      <c r="L6" s="13">
        <f>MIN($C$16,IFERROR(VLOOKUP(J6,$A7:$M$14,13,FALSE),$C$16),IFERROR(VLOOKUP(K6,$A7:$M$14,13,FALSE),$C$16))</f>
        <v/>
      </c>
      <c r="M6" s="13">
        <f>L6-E6</f>
        <v/>
      </c>
      <c r="N6" s="13">
        <f>M6-H6</f>
        <v/>
      </c>
      <c r="O6" s="24">
        <f>IF(N6=0,"Critical","")</f>
        <v/>
      </c>
    </row>
    <row r="7">
      <c r="A7" s="24" t="inlineStr">
        <is>
          <t>B</t>
        </is>
      </c>
      <c r="B7" s="28" t="inlineStr">
        <is>
          <t>Order soil and plants</t>
        </is>
      </c>
      <c r="C7" s="13" t="n">
        <v>4</v>
      </c>
      <c r="D7" s="12" t="n">
        <v>0</v>
      </c>
      <c r="E7" s="13">
        <f>C7+D7</f>
        <v/>
      </c>
      <c r="F7" s="24" t="n"/>
      <c r="G7" s="24" t="n"/>
      <c r="H7" s="13">
        <f>MAX(0,IFERROR(VLOOKUP(F7,$A$5:$I6,9,FALSE),0),IFERROR(VLOOKUP(G7,$A$5:$I6,9,FALSE),0))</f>
        <v/>
      </c>
      <c r="I7" s="13">
        <f>H7+E7</f>
        <v/>
      </c>
      <c r="J7" s="24" t="inlineStr">
        <is>
          <t>F</t>
        </is>
      </c>
      <c r="K7" s="24" t="n"/>
      <c r="L7" s="13">
        <f>MIN($C$16,IFERROR(VLOOKUP(J7,$A8:$M$14,13,FALSE),$C$16),IFERROR(VLOOKUP(K7,$A8:$M$14,13,FALSE),$C$16))</f>
        <v/>
      </c>
      <c r="M7" s="13">
        <f>L7-E7</f>
        <v/>
      </c>
      <c r="N7" s="13">
        <f>M7-H7</f>
        <v/>
      </c>
      <c r="O7" s="24">
        <f>IF(N7=0,"Critical","")</f>
        <v/>
      </c>
      <c r="Q7" s="9" t="inlineStr">
        <is>
          <t>2. To lengthen an activity, type the extra days in its blue Change cell in column D. To shorten it, type a negative number. The scans, float and critical path all update.</t>
        </is>
      </c>
    </row>
    <row r="8">
      <c r="A8" s="24" t="inlineStr">
        <is>
          <t>C</t>
        </is>
      </c>
      <c r="B8" s="28" t="inlineStr">
        <is>
          <t>Build garden beds</t>
        </is>
      </c>
      <c r="C8" s="13" t="n">
        <v>3</v>
      </c>
      <c r="D8" s="12" t="n">
        <v>0</v>
      </c>
      <c r="E8" s="13">
        <f>C8+D8</f>
        <v/>
      </c>
      <c r="F8" s="24" t="inlineStr">
        <is>
          <t>A</t>
        </is>
      </c>
      <c r="G8" s="24" t="n"/>
      <c r="H8" s="13">
        <f>MAX(0,IFERROR(VLOOKUP(F8,$A$5:$I7,9,FALSE),0),IFERROR(VLOOKUP(G8,$A$5:$I7,9,FALSE),0))</f>
        <v/>
      </c>
      <c r="I8" s="13">
        <f>H8+E8</f>
        <v/>
      </c>
      <c r="J8" s="24" t="inlineStr">
        <is>
          <t>E</t>
        </is>
      </c>
      <c r="K8" s="24" t="inlineStr">
        <is>
          <t>F</t>
        </is>
      </c>
      <c r="L8" s="13">
        <f>MIN($C$16,IFERROR(VLOOKUP(J8,$A9:$M$14,13,FALSE),$C$16),IFERROR(VLOOKUP(K8,$A9:$M$14,13,FALSE),$C$16))</f>
        <v/>
      </c>
      <c r="M8" s="13">
        <f>L8-E8</f>
        <v/>
      </c>
      <c r="N8" s="13">
        <f>M8-H8</f>
        <v/>
      </c>
      <c r="O8" s="24">
        <f>IF(N8=0,"Critical","")</f>
        <v/>
      </c>
    </row>
    <row r="9">
      <c r="A9" s="24" t="inlineStr">
        <is>
          <t>D</t>
        </is>
      </c>
      <c r="B9" s="28" t="inlineStr">
        <is>
          <t>Install irrigation</t>
        </is>
      </c>
      <c r="C9" s="13" t="n">
        <v>2</v>
      </c>
      <c r="D9" s="12" t="n">
        <v>0</v>
      </c>
      <c r="E9" s="13">
        <f>C9+D9</f>
        <v/>
      </c>
      <c r="F9" s="24" t="inlineStr">
        <is>
          <t>A</t>
        </is>
      </c>
      <c r="G9" s="24" t="n"/>
      <c r="H9" s="13">
        <f>MAX(0,IFERROR(VLOOKUP(F9,$A$5:$I8,9,FALSE),0),IFERROR(VLOOKUP(G9,$A$5:$I8,9,FALSE),0))</f>
        <v/>
      </c>
      <c r="I9" s="13">
        <f>H9+E9</f>
        <v/>
      </c>
      <c r="J9" s="24" t="inlineStr">
        <is>
          <t>G</t>
        </is>
      </c>
      <c r="K9" s="24" t="n"/>
      <c r="L9" s="13">
        <f>MIN($C$16,IFERROR(VLOOKUP(J9,$A10:$M$14,13,FALSE),$C$16),IFERROR(VLOOKUP(K9,$A10:$M$14,13,FALSE),$C$16))</f>
        <v/>
      </c>
      <c r="M9" s="13">
        <f>L9-E9</f>
        <v/>
      </c>
      <c r="N9" s="13">
        <f>M9-H9</f>
        <v/>
      </c>
      <c r="O9" s="24">
        <f>IF(N9=0,"Critical","")</f>
        <v/>
      </c>
    </row>
    <row r="10">
      <c r="A10" s="24" t="inlineStr">
        <is>
          <t>E</t>
        </is>
      </c>
      <c r="B10" s="28" t="inlineStr">
        <is>
          <t>Lay paths</t>
        </is>
      </c>
      <c r="C10" s="13" t="n">
        <v>3</v>
      </c>
      <c r="D10" s="12" t="n">
        <v>0</v>
      </c>
      <c r="E10" s="13">
        <f>C10+D10</f>
        <v/>
      </c>
      <c r="F10" s="24" t="inlineStr">
        <is>
          <t>C</t>
        </is>
      </c>
      <c r="G10" s="24" t="n"/>
      <c r="H10" s="13">
        <f>MAX(0,IFERROR(VLOOKUP(F10,$A$5:$I9,9,FALSE),0),IFERROR(VLOOKUP(G10,$A$5:$I9,9,FALSE),0))</f>
        <v/>
      </c>
      <c r="I10" s="13">
        <f>H10+E10</f>
        <v/>
      </c>
      <c r="J10" s="24" t="inlineStr">
        <is>
          <t>H</t>
        </is>
      </c>
      <c r="K10" s="24" t="n"/>
      <c r="L10" s="13">
        <f>MIN($C$16,IFERROR(VLOOKUP(J10,$A11:$M$14,13,FALSE),$C$16),IFERROR(VLOOKUP(K10,$A11:$M$14,13,FALSE),$C$16))</f>
        <v/>
      </c>
      <c r="M10" s="13">
        <f>L10-E10</f>
        <v/>
      </c>
      <c r="N10" s="13">
        <f>M10-H10</f>
        <v/>
      </c>
      <c r="O10" s="24">
        <f>IF(N10=0,"Critical","")</f>
        <v/>
      </c>
      <c r="Q10" s="9" t="inlineStr">
        <is>
          <t>3. Set every Change cell back to 0 after each question.</t>
        </is>
      </c>
    </row>
    <row r="11">
      <c r="A11" s="24" t="inlineStr">
        <is>
          <t>F</t>
        </is>
      </c>
      <c r="B11" s="28" t="inlineStr">
        <is>
          <t>Fill beds with soil</t>
        </is>
      </c>
      <c r="C11" s="13" t="n">
        <v>1</v>
      </c>
      <c r="D11" s="12" t="n">
        <v>0</v>
      </c>
      <c r="E11" s="13">
        <f>C11+D11</f>
        <v/>
      </c>
      <c r="F11" s="24" t="inlineStr">
        <is>
          <t>B</t>
        </is>
      </c>
      <c r="G11" s="24" t="inlineStr">
        <is>
          <t>C</t>
        </is>
      </c>
      <c r="H11" s="13">
        <f>MAX(0,IFERROR(VLOOKUP(F11,$A$5:$I10,9,FALSE),0),IFERROR(VLOOKUP(G11,$A$5:$I10,9,FALSE),0))</f>
        <v/>
      </c>
      <c r="I11" s="13">
        <f>H11+E11</f>
        <v/>
      </c>
      <c r="J11" s="24" t="inlineStr">
        <is>
          <t>G</t>
        </is>
      </c>
      <c r="K11" s="24" t="n"/>
      <c r="L11" s="13">
        <f>MIN($C$16,IFERROR(VLOOKUP(J11,$A12:$M$14,13,FALSE),$C$16),IFERROR(VLOOKUP(K11,$A12:$M$14,13,FALSE),$C$16))</f>
        <v/>
      </c>
      <c r="M11" s="13">
        <f>L11-E11</f>
        <v/>
      </c>
      <c r="N11" s="13">
        <f>M11-H11</f>
        <v/>
      </c>
      <c r="O11" s="24">
        <f>IF(N11=0,"Critical","")</f>
        <v/>
      </c>
    </row>
    <row r="12">
      <c r="A12" s="24" t="inlineStr">
        <is>
          <t>G</t>
        </is>
      </c>
      <c r="B12" s="28" t="inlineStr">
        <is>
          <t>Plant seedlings</t>
        </is>
      </c>
      <c r="C12" s="13" t="n">
        <v>2</v>
      </c>
      <c r="D12" s="12" t="n">
        <v>0</v>
      </c>
      <c r="E12" s="13">
        <f>C12+D12</f>
        <v/>
      </c>
      <c r="F12" s="24" t="inlineStr">
        <is>
          <t>D</t>
        </is>
      </c>
      <c r="G12" s="24" t="inlineStr">
        <is>
          <t>F</t>
        </is>
      </c>
      <c r="H12" s="13">
        <f>MAX(0,IFERROR(VLOOKUP(F12,$A$5:$I11,9,FALSE),0),IFERROR(VLOOKUP(G12,$A$5:$I11,9,FALSE),0))</f>
        <v/>
      </c>
      <c r="I12" s="13">
        <f>H12+E12</f>
        <v/>
      </c>
      <c r="J12" s="24" t="inlineStr">
        <is>
          <t>H</t>
        </is>
      </c>
      <c r="K12" s="24" t="n"/>
      <c r="L12" s="13">
        <f>MIN($C$16,IFERROR(VLOOKUP(J12,$A13:$M$14,13,FALSE),$C$16),IFERROR(VLOOKUP(K12,$A13:$M$14,13,FALSE),$C$16))</f>
        <v/>
      </c>
      <c r="M12" s="13">
        <f>L12-E12</f>
        <v/>
      </c>
      <c r="N12" s="13">
        <f>M12-H12</f>
        <v/>
      </c>
      <c r="O12" s="24">
        <f>IF(N12=0,"Critical","")</f>
        <v/>
      </c>
      <c r="Q12" s="4" t="inlineStr">
        <is>
          <t>Questions – worked answers</t>
        </is>
      </c>
    </row>
    <row r="13">
      <c r="A13" s="24" t="inlineStr">
        <is>
          <t>H</t>
        </is>
      </c>
      <c r="B13" s="28" t="inlineStr">
        <is>
          <t>Mulch and put up signs</t>
        </is>
      </c>
      <c r="C13" s="13" t="n">
        <v>1</v>
      </c>
      <c r="D13" s="12" t="n">
        <v>0</v>
      </c>
      <c r="E13" s="13">
        <f>C13+D13</f>
        <v/>
      </c>
      <c r="F13" s="24" t="inlineStr">
        <is>
          <t>E</t>
        </is>
      </c>
      <c r="G13" s="24" t="inlineStr">
        <is>
          <t>G</t>
        </is>
      </c>
      <c r="H13" s="13">
        <f>MAX(0,IFERROR(VLOOKUP(F13,$A$5:$I12,9,FALSE),0),IFERROR(VLOOKUP(G13,$A$5:$I12,9,FALSE),0))</f>
        <v/>
      </c>
      <c r="I13" s="13">
        <f>H13+E13</f>
        <v/>
      </c>
      <c r="J13" s="24" t="n"/>
      <c r="K13" s="24" t="n"/>
      <c r="L13" s="13">
        <f>MIN($C$16,IFERROR(VLOOKUP(J13,$A14:$M$14,13,FALSE),$C$16),IFERROR(VLOOKUP(K13,$A14:$M$14,13,FALSE),$C$16))</f>
        <v/>
      </c>
      <c r="M13" s="13">
        <f>L13-E13</f>
        <v/>
      </c>
      <c r="N13" s="13">
        <f>M13-H13</f>
        <v/>
      </c>
      <c r="O13" s="24">
        <f>IF(N13=0,"Critical","")</f>
        <v/>
      </c>
      <c r="Q13" s="15" t="inlineStr">
        <is>
          <t>Q1.  What is the completion time? The model lists the critical activities – how many critical paths are there, and what are they?</t>
        </is>
      </c>
    </row>
    <row r="14"/>
    <row r="15">
      <c r="A15" s="4" t="inlineStr">
        <is>
          <t>Results</t>
        </is>
      </c>
      <c r="Q15" s="16" t="inlineStr">
        <is>
          <t>9 days. There are 2 critical paths: A – C – E – H and A – C – F – G – H. Each takes 9 days.</t>
        </is>
      </c>
      <c r="R15" s="17" t="n"/>
      <c r="S15" s="17" t="n"/>
      <c r="T15" s="17" t="n"/>
      <c r="U15" s="17" t="n"/>
      <c r="V15" s="17" t="n"/>
      <c r="W15" s="17" t="n"/>
      <c r="X15" s="18" t="n"/>
    </row>
    <row r="16">
      <c r="A16" s="6" t="inlineStr">
        <is>
          <t>Completion time (days)</t>
        </is>
      </c>
      <c r="C16" s="29">
        <f>MAX(I6:I13)</f>
        <v/>
      </c>
      <c r="Q16" s="19" t="n"/>
      <c r="X16" s="20" t="n"/>
    </row>
    <row r="17">
      <c r="A17" s="6" t="inlineStr">
        <is>
          <t>Critical activities</t>
        </is>
      </c>
      <c r="C17" s="30">
        <f>SUBSTITUTE(TRIM(IF(N6=0,A6&amp;" ","")&amp;IF(N7=0,A7&amp;" ","")&amp;IF(N8=0,A8&amp;" ","")&amp;IF(N9=0,A9&amp;" ","")&amp;IF(N10=0,A10&amp;" ","")&amp;IF(N11=0,A11&amp;" ","")&amp;IF(N12=0,A12&amp;" ","")&amp;IF(N13=0,A13&amp;" ",""))," "," – ")</f>
        <v/>
      </c>
      <c r="D17" s="26" t="n"/>
      <c r="E17" s="26" t="n"/>
      <c r="F17" s="26" t="n"/>
      <c r="G17" s="27" t="n"/>
      <c r="Q17" s="21" t="n"/>
      <c r="R17" s="22" t="n"/>
      <c r="S17" s="22" t="n"/>
      <c r="T17" s="22" t="n"/>
      <c r="U17" s="22" t="n"/>
      <c r="V17" s="22" t="n"/>
      <c r="W17" s="22" t="n"/>
      <c r="X17" s="23" t="n"/>
    </row>
    <row r="19">
      <c r="Q19" s="15" t="inlineStr">
        <is>
          <t>Q2.  The soil and plants (B) arrive 3 days late. What is the new completion time? Explain using the float of B.</t>
        </is>
      </c>
    </row>
    <row r="20"/>
    <row r="21">
      <c r="Q21" s="16" t="inlineStr">
        <is>
          <t>11 days. B has 1 day of float, so the first 1 day of the delay is absorbed and the project is delayed by 2 days.</t>
        </is>
      </c>
      <c r="R21" s="17" t="n"/>
      <c r="S21" s="17" t="n"/>
      <c r="T21" s="17" t="n"/>
      <c r="U21" s="17" t="n"/>
      <c r="V21" s="17" t="n"/>
      <c r="W21" s="17" t="n"/>
      <c r="X21" s="18" t="n"/>
    </row>
    <row r="22">
      <c r="Q22" s="19" t="n"/>
      <c r="X22" s="20" t="n"/>
    </row>
    <row r="23">
      <c r="Q23" s="21" t="n"/>
      <c r="R23" s="22" t="n"/>
      <c r="S23" s="22" t="n"/>
      <c r="T23" s="22" t="n"/>
      <c r="U23" s="22" t="n"/>
      <c r="V23" s="22" t="n"/>
      <c r="W23" s="22" t="n"/>
      <c r="X23" s="23" t="n"/>
    </row>
    <row r="25">
      <c r="Q25" s="15" t="inlineStr">
        <is>
          <t>Q3.  How many days can installing the irrigation (D) be delayed without delaying the project?</t>
        </is>
      </c>
    </row>
    <row r="26"/>
    <row r="27">
      <c r="Q27" s="16" t="inlineStr">
        <is>
          <t>2 days – its float.</t>
        </is>
      </c>
      <c r="R27" s="17" t="n"/>
      <c r="S27" s="17" t="n"/>
      <c r="T27" s="17" t="n"/>
      <c r="U27" s="17" t="n"/>
      <c r="V27" s="17" t="n"/>
      <c r="W27" s="17" t="n"/>
      <c r="X27" s="18" t="n"/>
    </row>
    <row r="28">
      <c r="Q28" s="19" t="n"/>
      <c r="X28" s="20" t="n"/>
    </row>
    <row r="29">
      <c r="Q29" s="21" t="n"/>
      <c r="R29" s="22" t="n"/>
      <c r="S29" s="22" t="n"/>
      <c r="T29" s="22" t="n"/>
      <c r="U29" s="22" t="n"/>
      <c r="V29" s="22" t="n"/>
      <c r="W29" s="22" t="n"/>
      <c r="X29" s="23" t="n"/>
    </row>
    <row r="31">
      <c r="Q31" s="15" t="inlineStr">
        <is>
          <t>Q4.  Extra volunteers can shorten ONE activity by 1 day. Which activities would make the garden finish a day earlier? Why not the others?</t>
        </is>
      </c>
    </row>
    <row r="32"/>
    <row r="33">
      <c r="Q33" s="16" t="inlineStr">
        <is>
          <t>A (clear the site), C (build garden beds) and H (mulch and put up signs) – the activities on BOTH critical paths. Shortening E, F and G alone leaves the other critical path at 9 days, and shortening a non-critical activity just gives it more float.</t>
        </is>
      </c>
      <c r="R33" s="17" t="n"/>
      <c r="S33" s="17" t="n"/>
      <c r="T33" s="17" t="n"/>
      <c r="U33" s="17" t="n"/>
      <c r="V33" s="17" t="n"/>
      <c r="W33" s="17" t="n"/>
      <c r="X33" s="18" t="n"/>
    </row>
    <row r="34">
      <c r="Q34" s="19" t="n"/>
      <c r="X34" s="20" t="n"/>
    </row>
    <row r="35">
      <c r="Q35" s="19" t="n"/>
      <c r="X35" s="20" t="n"/>
    </row>
    <row r="36">
      <c r="Q36" s="21" t="n"/>
      <c r="R36" s="22" t="n"/>
      <c r="S36" s="22" t="n"/>
      <c r="T36" s="22" t="n"/>
      <c r="U36" s="22" t="n"/>
      <c r="V36" s="22" t="n"/>
      <c r="W36" s="22" t="n"/>
      <c r="X36" s="23" t="n"/>
    </row>
  </sheetData>
  <mergeCells count="14">
    <mergeCell ref="Q13:X14"/>
    <mergeCell ref="Q21:X23"/>
    <mergeCell ref="Q25:X26"/>
    <mergeCell ref="Q15:X17"/>
    <mergeCell ref="Q7:X9"/>
    <mergeCell ref="A2:X2"/>
    <mergeCell ref="Q19:X20"/>
    <mergeCell ref="Q27:X29"/>
    <mergeCell ref="Q33:X36"/>
    <mergeCell ref="C17:G17"/>
    <mergeCell ref="A1:X1"/>
    <mergeCell ref="Q31:X32"/>
    <mergeCell ref="Q10:X10"/>
    <mergeCell ref="Q5:X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2026-10-17T21:06:46Z</dcterms:created>
  <dcterms:modified xsi:type="dcterms:W3CDTF">2026-10-17T21:06:46Z</dcterms:modified>
</cp:coreProperties>
</file>