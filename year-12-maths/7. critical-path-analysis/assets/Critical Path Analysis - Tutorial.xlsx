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Forward scan" sheetId="2" state="visible" r:id="rId2"/>
    <sheet name="2 Backward scan" sheetId="3" state="visible" r:id="rId3"/>
    <sheet name="3 Gantt chart" sheetId="4" state="visible" r:id="rId4"/>
    <sheet name="4 Changing durations" sheetId="5" state="visible" r:id="rId5"/>
    <sheet name="Try it answers"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i val="1"/>
      <color rgb="00404040"/>
      <sz val="10"/>
    </font>
    <font>
      <name val="Arial"/>
      <b val="1"/>
      <color rgb="001F4E5F"/>
      <sz val="11"/>
    </font>
    <font>
      <name val="Arial"/>
      <sz val="10"/>
    </font>
    <font>
      <name val="Arial"/>
      <color rgb="000000FF"/>
      <sz val="10"/>
    </font>
    <font>
      <name val="Arial"/>
      <b val="1"/>
      <color rgb="001F4E5F"/>
      <sz val="10"/>
    </font>
    <font>
      <name val="Arial"/>
      <b val="1"/>
      <sz val="10"/>
    </font>
    <font>
      <name val="Arial"/>
      <b val="1"/>
      <color rgb="007F3F00"/>
      <sz val="10"/>
    </font>
  </fonts>
  <fills count="5">
    <fill>
      <patternFill/>
    </fill>
    <fill>
      <patternFill patternType="gray125"/>
    </fill>
    <fill>
      <patternFill patternType="solid">
        <fgColor rgb="001F4E5F"/>
      </patternFill>
    </fill>
    <fill>
      <patternFill patternType="solid">
        <fgColor rgb="00FFF2A8"/>
      </patternFill>
    </fill>
    <fill>
      <patternFill patternType="solid">
        <fgColor rgb="00D9E7EC"/>
      </patternFill>
    </fill>
  </fills>
  <borders count="7">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1" fontId="5" fillId="3" borderId="1" pivotButton="0" quotePrefix="0" xfId="0"/>
    <xf numFmtId="1" fontId="4" fillId="0" borderId="1" pivotButton="0" quotePrefix="0" xfId="0"/>
    <xf numFmtId="0" fontId="6" fillId="4" borderId="1" applyAlignment="1" pivotButton="0" quotePrefix="0" xfId="0">
      <alignment horizontal="center" vertical="center" wrapText="1"/>
    </xf>
    <xf numFmtId="0" fontId="7" fillId="0" borderId="0" pivotButton="0" quotePrefix="0" xfId="0"/>
    <xf numFmtId="0" fontId="4" fillId="0" borderId="0" applyAlignment="1" pivotButton="0" quotePrefix="0" xfId="0">
      <alignment vertical="top" wrapText="1"/>
    </xf>
    <xf numFmtId="0" fontId="4" fillId="0" borderId="1" applyAlignment="1" pivotButton="0" quotePrefix="0" xfId="0">
      <alignment horizontal="center"/>
    </xf>
    <xf numFmtId="0" fontId="4" fillId="0" borderId="1" pivotButton="0" quotePrefix="0" xfId="0"/>
    <xf numFmtId="0" fontId="5" fillId="3" borderId="1" applyAlignment="1" pivotButton="0" quotePrefix="0" xfId="0">
      <alignment horizontal="center"/>
    </xf>
    <xf numFmtId="0" fontId="8" fillId="0" borderId="0" applyAlignment="1" pivotButton="0" quotePrefix="0" xfId="0">
      <alignment vertical="top" wrapText="1"/>
    </xf>
    <xf numFmtId="1" fontId="7" fillId="0" borderId="1" pivotButton="0" quotePrefix="0" xfId="0"/>
    <xf numFmtId="0" fontId="7" fillId="0"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vertical="top"/>
    </xf>
    <xf numFmtId="1" fontId="4" fillId="0" borderId="6"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Open day Gantt chart</a:t>
            </a:r>
          </a:p>
        </rich>
      </tx>
    </title>
    <plotArea>
      <barChart>
        <barDir val="bar"/>
        <grouping val="stacked"/>
        <ser>
          <idx val="0"/>
          <order val="0"/>
          <tx>
            <strRef>
              <f>'3 Gantt chart'!B5</f>
            </strRef>
          </tx>
          <spPr>
            <a:noFill/>
            <a:ln>
              <a:noFill/>
              <a:prstDash val="solid"/>
            </a:ln>
          </spPr>
          <cat>
            <numRef>
              <f>'3 Gantt chart'!$A$6:$A$14</f>
            </numRef>
          </cat>
          <val>
            <numRef>
              <f>'3 Gantt chart'!$B$6:$B$14</f>
            </numRef>
          </val>
        </ser>
        <ser>
          <idx val="1"/>
          <order val="1"/>
          <tx>
            <strRef>
              <f>'3 Gantt chart'!C5</f>
            </strRef>
          </tx>
          <spPr>
            <a:solidFill>
              <a:srgbClr val="BE4B48"/>
            </a:solidFill>
            <a:ln>
              <a:solidFill>
                <a:srgbClr val="BE4B48"/>
              </a:solidFill>
              <a:prstDash val="solid"/>
            </a:ln>
          </spPr>
          <cat>
            <numRef>
              <f>'3 Gantt chart'!$A$6:$A$14</f>
            </numRef>
          </cat>
          <val>
            <numRef>
              <f>'3 Gantt chart'!$C$6:$C$14</f>
            </numRef>
          </val>
        </ser>
        <ser>
          <idx val="2"/>
          <order val="2"/>
          <tx>
            <strRef>
              <f>'3 Gantt chart'!D5</f>
            </strRef>
          </tx>
          <spPr>
            <a:solidFill>
              <a:srgbClr val="4A7EBB"/>
            </a:solidFill>
            <a:ln>
              <a:solidFill>
                <a:srgbClr val="4A7EBB"/>
              </a:solidFill>
              <a:prstDash val="solid"/>
            </a:ln>
          </spPr>
          <cat>
            <numRef>
              <f>'3 Gantt chart'!$A$6:$A$14</f>
            </numRef>
          </cat>
          <val>
            <numRef>
              <f>'3 Gantt chart'!$D$6:$D$14</f>
            </numRef>
          </val>
        </ser>
        <ser>
          <idx val="3"/>
          <order val="3"/>
          <tx>
            <strRef>
              <f>'3 Gantt chart'!E5</f>
            </strRef>
          </tx>
          <spPr>
            <a:solidFill>
              <a:srgbClr val="FFFFFF"/>
            </a:solidFill>
            <a:ln>
              <a:solidFill>
                <a:srgbClr val="4A7EBB"/>
              </a:solidFill>
              <a:prstDash val="dash"/>
            </a:ln>
          </spPr>
          <cat>
            <numRef>
              <f>'3 Gantt chart'!$A$6:$A$14</f>
            </numRef>
          </cat>
          <val>
            <numRef>
              <f>'3 Gantt chart'!$E$6:$E$14</f>
            </numRef>
          </val>
        </ser>
        <gapWidth val="60"/>
        <overlap val="100"/>
        <axId val="10"/>
        <axId val="100"/>
      </barChart>
      <catAx>
        <axId val="10"/>
        <scaling>
          <orientation val="maxMin"/>
        </scaling>
        <delete val="0"/>
        <axPos val="l"/>
        <title>
          <tx>
            <rich>
              <a:bodyPr/>
              <a:p>
                <a:pPr>
                  <a:defRPr/>
                </a:pPr>
                <a:r>
                  <a:t>Activity</a:t>
                </a:r>
              </a:p>
            </rich>
          </tx>
        </title>
        <majorTickMark val="none"/>
        <minorTickMark val="none"/>
        <txPr>
          <a:bodyPr/>
          <a:p>
            <a:pPr>
              <a:defRPr sz="900"/>
            </a:pPr>
            <a:r>
              <a:t/>
            </a:r>
            <a:endParaRPr sz="900"/>
          </a:p>
        </txPr>
        <crossAx val="100"/>
        <lblOffset val="100"/>
      </catAx>
      <valAx>
        <axId val="100"/>
        <scaling>
          <orientation val="minMax"/>
        </scaling>
        <delete val="0"/>
        <axPos val="b"/>
        <majorGridlines/>
        <title>
          <tx>
            <rich>
              <a:bodyPr/>
              <a:p>
                <a:pPr>
                  <a:defRPr/>
                </a:pPr>
                <a:r>
                  <a:t>Time (days from the start)</a:t>
                </a:r>
              </a:p>
            </rich>
          </tx>
        </title>
        <majorTickMark val="none"/>
        <minorTickMark val="none"/>
        <txPr>
          <a:bodyPr/>
          <a:p>
            <a:pPr>
              <a:defRPr sz="900"/>
            </a:pPr>
            <a:r>
              <a:t/>
            </a:r>
            <a:endParaRPr sz="900"/>
          </a:p>
        </txPr>
        <crossAx val="10"/>
      </valAx>
    </plotArea>
    <legend>
      <legendPos val="b"/>
      <legendEntry>
        <idx val="0"/>
        <delete val="1"/>
      </legendEntry>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16</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26" customWidth="1" min="1" max="1"/>
    <col width="62" customWidth="1" min="2" max="2"/>
    <col width="58" customWidth="1" min="3" max="3"/>
  </cols>
  <sheetData>
    <row r="1" ht="31.5" customHeight="1">
      <c r="A1" s="1" t="inlineStr">
        <is>
          <t>Critical Path Analysis – Spreadsheet Tutorial</t>
        </is>
      </c>
    </row>
    <row r="2" ht="30" customHeight="1">
      <c r="A2" s="2" t="inlineStr">
        <is>
          <t>Work through the tabs in order. The whole project is modelled with formulas, so change a yellow cell and watch the scans, the critical path and the Gantt chart update.</t>
        </is>
      </c>
    </row>
    <row r="4">
      <c r="A4" s="3" t="inlineStr">
        <is>
          <t>What you will learn</t>
        </is>
      </c>
    </row>
    <row r="5">
      <c r="A5" s="4" t="inlineStr">
        <is>
          <t xml:space="preserve">   1.  Model a project from its precedence table, and forward scan to find each earliest starting time (EST).</t>
        </is>
      </c>
    </row>
    <row r="6">
      <c r="A6" s="4" t="inlineStr">
        <is>
          <t xml:space="preserve">   2.  Backward scan to find each latest starting time (LST), the float times and the critical path.</t>
        </is>
      </c>
    </row>
    <row r="7">
      <c r="A7" s="4" t="inlineStr">
        <is>
          <t xml:space="preserve">   3.  Draw a Gantt chart that shows the critical path.</t>
        </is>
      </c>
    </row>
    <row r="8">
      <c r="A8" s="4" t="inlineStr">
        <is>
          <t xml:space="preserve">   4.  Examine how increasing or reducing the duration of an activity changes the completion time.</t>
        </is>
      </c>
    </row>
    <row r="10">
      <c r="A10" s="3" t="inlineStr">
        <is>
          <t>Colour key</t>
        </is>
      </c>
    </row>
    <row r="11">
      <c r="A11" s="5" t="n">
        <v>100</v>
      </c>
      <c r="B11" s="4" t="inlineStr">
        <is>
          <t>Yellow cell with blue text = an input. Change these to explore.</t>
        </is>
      </c>
    </row>
    <row r="12">
      <c r="A12" s="6">
        <f>A11*2</f>
        <v/>
      </c>
      <c r="B12" s="4" t="inlineStr">
        <is>
          <t>White cell with black text = a formula. Click it to read the formula, but don't type over it.</t>
        </is>
      </c>
    </row>
    <row r="13">
      <c r="A13" s="3" t="inlineStr">
        <is>
          <t>Try it</t>
        </is>
      </c>
      <c r="B13" s="4" t="inlineStr">
        <is>
          <t>Short tasks on each tab. Answers are on the last tab.</t>
        </is>
      </c>
    </row>
    <row r="15">
      <c r="A15" s="3" t="inlineStr">
        <is>
          <t>The tabs</t>
        </is>
      </c>
    </row>
    <row r="16" ht="15" customHeight="1">
      <c r="A16" s="7" t="inlineStr">
        <is>
          <t>Tab</t>
        </is>
      </c>
      <c r="B16" s="7" t="inlineStr">
        <is>
          <t>What you model</t>
        </is>
      </c>
      <c r="C16" s="7" t="inlineStr">
        <is>
          <t>Key formula or function</t>
        </is>
      </c>
    </row>
    <row r="17">
      <c r="A17" s="4" t="inlineStr">
        <is>
          <t>1 Forward scan</t>
        </is>
      </c>
      <c r="B17" s="4" t="inlineStr">
        <is>
          <t>A school open day: precedence table, ESTs and the minimum completion time</t>
        </is>
      </c>
      <c r="C17" s="4" t="inlineStr">
        <is>
          <t>EST = largest EFT of the predecessors</t>
        </is>
      </c>
    </row>
    <row r="18">
      <c r="A18" s="4" t="inlineStr">
        <is>
          <t>2 Backward scan</t>
        </is>
      </c>
      <c r="B18" s="4" t="inlineStr">
        <is>
          <t>LSTs, float times and the critical path</t>
        </is>
      </c>
      <c r="C18" s="4" t="inlineStr">
        <is>
          <t>LST = smallest LST of the successors − duration</t>
        </is>
      </c>
    </row>
    <row r="19">
      <c r="A19" s="4" t="inlineStr">
        <is>
          <t>3 Gantt chart</t>
        </is>
      </c>
      <c r="B19" s="4" t="inlineStr">
        <is>
          <t>The project drawn as a Gantt chart</t>
        </is>
      </c>
      <c r="C19" s="4" t="inlineStr">
        <is>
          <t>Stacked bar chart</t>
        </is>
      </c>
    </row>
    <row r="20">
      <c r="A20" s="4" t="inlineStr">
        <is>
          <t>4 Changing durations</t>
        </is>
      </c>
      <c r="B20" s="4" t="inlineStr">
        <is>
          <t>What happens when an activity is delayed or sped up</t>
        </is>
      </c>
      <c r="C20" s="4" t="inlineStr">
        <is>
          <t>Both scans rerun with new durations</t>
        </is>
      </c>
    </row>
    <row r="23">
      <c r="A23" s="3" t="inlineStr">
        <is>
          <t>Spreadsheet skills you will use</t>
        </is>
      </c>
    </row>
    <row r="24">
      <c r="A24" s="8" t="inlineStr">
        <is>
          <t>Cell references</t>
        </is>
      </c>
      <c r="B24" s="4" t="inlineStr">
        <is>
          <t>The formula =G6+C6 adds the values in those cells. Change C6 and the answer updates.</t>
        </is>
      </c>
    </row>
    <row r="25">
      <c r="A25" s="8" t="inlineStr">
        <is>
          <t>Absolute references</t>
        </is>
      </c>
      <c r="B25" s="4" t="inlineStr">
        <is>
          <t>$A$5 stays locked when a formula is filled down. A6 (no $ signs) moves down a row each time.</t>
        </is>
      </c>
    </row>
    <row r="26">
      <c r="A26" s="8" t="inlineStr">
        <is>
          <t>MAX and MIN</t>
        </is>
      </c>
      <c r="B26" s="4" t="inlineStr">
        <is>
          <t>MAX(…) gives the largest of a list of values and MIN(…) gives the smallest.</t>
        </is>
      </c>
    </row>
    <row r="27">
      <c r="A27" s="8" t="inlineStr">
        <is>
          <t>VLOOKUP</t>
        </is>
      </c>
      <c r="B27" s="4" t="inlineStr">
        <is>
          <t>VLOOKUP(D7,$A$5:$H6,8,FALSE) finds D7 in the first column of the range and returns the value from its 8th column.</t>
        </is>
      </c>
    </row>
    <row r="28">
      <c r="A28" s="8" t="inlineStr">
        <is>
          <t>IFERROR</t>
        </is>
      </c>
      <c r="B28" s="4" t="inlineStr">
        <is>
          <t>IFERROR(formula, 0) shows 0 instead of an error – here, when a predecessor cell is blank.</t>
        </is>
      </c>
    </row>
    <row r="29">
      <c r="A29" s="8" t="inlineStr">
        <is>
          <t>Links to other tabs</t>
        </is>
      </c>
      <c r="B29" s="4" t="inlineStr">
        <is>
          <t>='1 Forward scan'!C6 shows the value of C6 on the tab called 1 Forward scan.</t>
        </is>
      </c>
    </row>
    <row r="30">
      <c r="A30" s="8" t="inlineStr">
        <is>
          <t>If you get lost</t>
        </is>
      </c>
      <c r="B30" s="4" t="inlineStr">
        <is>
          <t>Press Ctrl+Z (Cmd+Z on a Mac) to undo, or close without saving and reopen the file.</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
  <sheetViews>
    <sheetView showGridLines="0" workbookViewId="0">
      <selection activeCell="A1" sqref="A1"/>
    </sheetView>
  </sheetViews>
  <sheetFormatPr baseColWidth="8" defaultRowHeight="15"/>
  <cols>
    <col width="10" customWidth="1" min="1" max="1"/>
    <col width="34" customWidth="1" min="2" max="2"/>
    <col width="12" customWidth="1" min="3" max="3"/>
    <col width="11" customWidth="1" min="4" max="4"/>
    <col width="11" customWidth="1" min="5" max="5"/>
    <col width="11" customWidth="1" min="6" max="6"/>
    <col width="10" customWidth="1" min="7" max="7"/>
    <col width="10" customWidth="1" min="8" max="8"/>
    <col width="3" customWidth="1" min="9" max="9"/>
    <col width="11" customWidth="1" min="10" max="10"/>
  </cols>
  <sheetData>
    <row r="1" ht="31.5" customHeight="1">
      <c r="A1" s="1" t="inlineStr">
        <is>
          <t>1   Precedence table and forward scan</t>
        </is>
      </c>
    </row>
    <row r="2" ht="30" customHeight="1">
      <c r="A2" s="2" t="inlineStr">
        <is>
          <t>Your class is running a school open day. The precedence table lists every activity, how long it takes and which activities must finish before it can start (its immediate predecessors).</t>
        </is>
      </c>
    </row>
    <row r="4">
      <c r="A4" s="3" t="inlineStr">
        <is>
          <t>Precedence table – change the yellow cells</t>
        </is>
      </c>
      <c r="J4" s="3" t="inlineStr">
        <is>
          <t>How it works</t>
        </is>
      </c>
    </row>
    <row r="5" ht="31.5" customHeight="1">
      <c r="A5" s="7" t="inlineStr">
        <is>
          <t>Activity</t>
        </is>
      </c>
      <c r="B5" s="7" t="inlineStr">
        <is>
          <t>Task</t>
        </is>
      </c>
      <c r="C5" s="7" t="inlineStr">
        <is>
          <t>Duration (days)</t>
        </is>
      </c>
      <c r="D5" s="7" t="inlineStr">
        <is>
          <t>Immediate predecessor 1</t>
        </is>
      </c>
      <c r="E5" s="7" t="inlineStr">
        <is>
          <t>Immediate predecessor 2</t>
        </is>
      </c>
      <c r="F5" s="7" t="inlineStr">
        <is>
          <t>Immediate predecessor 3</t>
        </is>
      </c>
      <c r="G5" s="7" t="inlineStr">
        <is>
          <t>EST</t>
        </is>
      </c>
      <c r="H5" s="7" t="inlineStr">
        <is>
          <t>EFT</t>
        </is>
      </c>
      <c r="J5" s="9" t="inlineStr">
        <is>
          <t>Forward scanning works DOWN the table. An activity can start only when ALL of its immediate predecessors have finished.</t>
        </is>
      </c>
    </row>
    <row r="6">
      <c r="A6" s="10" t="inlineStr">
        <is>
          <t>A</t>
        </is>
      </c>
      <c r="B6" s="11" t="inlineStr">
        <is>
          <t>Book the hall and set the date</t>
        </is>
      </c>
      <c r="C6" s="5" t="n">
        <v>2</v>
      </c>
      <c r="D6" s="12" t="n"/>
      <c r="E6" s="12" t="n"/>
      <c r="F6" s="12" t="n"/>
      <c r="G6" s="6">
        <f>MAX(0,IFERROR(VLOOKUP(D6,$A$5:$H5,8,FALSE),0),IFERROR(VLOOKUP(E6,$A$5:$H5,8,FALSE),0),IFERROR(VLOOKUP(F6,$A$5:$H5,8,FALSE),0))</f>
        <v/>
      </c>
      <c r="H6" s="6">
        <f>G6+C6</f>
        <v/>
      </c>
    </row>
    <row r="7">
      <c r="A7" s="10" t="inlineStr">
        <is>
          <t>B</t>
        </is>
      </c>
      <c r="B7" s="11" t="inlineStr">
        <is>
          <t>Design the program</t>
        </is>
      </c>
      <c r="C7" s="5" t="n">
        <v>3</v>
      </c>
      <c r="D7" s="12" t="inlineStr">
        <is>
          <t>A</t>
        </is>
      </c>
      <c r="E7" s="12" t="n"/>
      <c r="F7" s="12" t="n"/>
      <c r="G7" s="6">
        <f>MAX(0,IFERROR(VLOOKUP(D7,$A$5:$H6,8,FALSE),0),IFERROR(VLOOKUP(E7,$A$5:$H6,8,FALSE),0),IFERROR(VLOOKUP(F7,$A$5:$H6,8,FALSE),0))</f>
        <v/>
      </c>
      <c r="H7" s="6">
        <f>G7+C7</f>
        <v/>
      </c>
      <c r="J7" s="9" t="inlineStr">
        <is>
          <t>EST (earliest starting time) = the largest EFT of its immediate predecessors, or 0 if it has none.   EFT (earliest finishing time) = EST + duration.</t>
        </is>
      </c>
    </row>
    <row r="8">
      <c r="A8" s="10" t="inlineStr">
        <is>
          <t>C</t>
        </is>
      </c>
      <c r="B8" s="11" t="inlineStr">
        <is>
          <t>Hire sound and display equipment</t>
        </is>
      </c>
      <c r="C8" s="5" t="n">
        <v>4</v>
      </c>
      <c r="D8" s="12" t="inlineStr">
        <is>
          <t>A</t>
        </is>
      </c>
      <c r="E8" s="12" t="n"/>
      <c r="F8" s="12" t="n"/>
      <c r="G8" s="6">
        <f>MAX(0,IFERROR(VLOOKUP(D8,$A$5:$H7,8,FALSE),0),IFERROR(VLOOKUP(E8,$A$5:$H7,8,FALSE),0),IFERROR(VLOOKUP(F8,$A$5:$H7,8,FALSE),0))</f>
        <v/>
      </c>
      <c r="H8" s="6">
        <f>G8+C8</f>
        <v/>
      </c>
    </row>
    <row r="9">
      <c r="A9" s="10" t="inlineStr">
        <is>
          <t>D</t>
        </is>
      </c>
      <c r="B9" s="11" t="inlineStr">
        <is>
          <t>Send invitations to families</t>
        </is>
      </c>
      <c r="C9" s="5" t="n">
        <v>3</v>
      </c>
      <c r="D9" s="12" t="inlineStr">
        <is>
          <t>B</t>
        </is>
      </c>
      <c r="E9" s="12" t="n"/>
      <c r="F9" s="12" t="n"/>
      <c r="G9" s="6">
        <f>MAX(0,IFERROR(VLOOKUP(D9,$A$5:$H8,8,FALSE),0),IFERROR(VLOOKUP(E9,$A$5:$H8,8,FALSE),0),IFERROR(VLOOKUP(F9,$A$5:$H8,8,FALSE),0))</f>
        <v/>
      </c>
      <c r="H9" s="6">
        <f>G9+C9</f>
        <v/>
      </c>
      <c r="J9" s="13" t="inlineStr">
        <is>
          <t xml:space="preserve">    Cell H6:   =G6+C6</t>
        </is>
      </c>
    </row>
    <row r="10">
      <c r="A10" s="10" t="inlineStr">
        <is>
          <t>E</t>
        </is>
      </c>
      <c r="B10" s="11" t="inlineStr">
        <is>
          <t>Print the programs</t>
        </is>
      </c>
      <c r="C10" s="5" t="n">
        <v>1</v>
      </c>
      <c r="D10" s="12" t="inlineStr">
        <is>
          <t>B</t>
        </is>
      </c>
      <c r="E10" s="12" t="n"/>
      <c r="F10" s="12" t="n"/>
      <c r="G10" s="6">
        <f>MAX(0,IFERROR(VLOOKUP(D10,$A$5:$H9,8,FALSE),0),IFERROR(VLOOKUP(E10,$A$5:$H9,8,FALSE),0),IFERROR(VLOOKUP(F10,$A$5:$H9,8,FALSE),0))</f>
        <v/>
      </c>
      <c r="H10" s="6">
        <f>G10+C10</f>
        <v/>
      </c>
      <c r="J10" s="9" t="inlineStr">
        <is>
          <t>VLOOKUP finds each predecessor in column A and returns its EFT from column H (the 8th column). IFERROR turns a blank predecessor into 0, and MAX picks the largest.</t>
        </is>
      </c>
    </row>
    <row r="11">
      <c r="A11" s="10" t="inlineStr">
        <is>
          <t>F</t>
        </is>
      </c>
      <c r="B11" s="11" t="inlineStr">
        <is>
          <t>Train student volunteers</t>
        </is>
      </c>
      <c r="C11" s="5" t="n">
        <v>3</v>
      </c>
      <c r="D11" s="12" t="inlineStr">
        <is>
          <t>C</t>
        </is>
      </c>
      <c r="E11" s="12" t="n"/>
      <c r="F11" s="12" t="n"/>
      <c r="G11" s="6">
        <f>MAX(0,IFERROR(VLOOKUP(D11,$A$5:$H10,8,FALSE),0),IFERROR(VLOOKUP(E11,$A$5:$H10,8,FALSE),0),IFERROR(VLOOKUP(F11,$A$5:$H10,8,FALSE),0))</f>
        <v/>
      </c>
      <c r="H11" s="6">
        <f>G11+C11</f>
        <v/>
      </c>
    </row>
    <row r="12">
      <c r="A12" s="10" t="inlineStr">
        <is>
          <t>G</t>
        </is>
      </c>
      <c r="B12" s="11" t="inlineStr">
        <is>
          <t>Set up displays in the hall</t>
        </is>
      </c>
      <c r="C12" s="5" t="n">
        <v>2</v>
      </c>
      <c r="D12" s="12" t="inlineStr">
        <is>
          <t>C</t>
        </is>
      </c>
      <c r="E12" s="12" t="inlineStr">
        <is>
          <t>E</t>
        </is>
      </c>
      <c r="F12" s="12" t="n"/>
      <c r="G12" s="6">
        <f>MAX(0,IFERROR(VLOOKUP(D12,$A$5:$H11,8,FALSE),0),IFERROR(VLOOKUP(E12,$A$5:$H11,8,FALSE),0),IFERROR(VLOOKUP(F12,$A$5:$H11,8,FALSE),0))</f>
        <v/>
      </c>
      <c r="H12" s="6">
        <f>G12+C12</f>
        <v/>
      </c>
      <c r="J12" s="13" t="inlineStr">
        <is>
          <t xml:space="preserve">    Cell G7:   =MAX(0, IFERROR(VLOOKUP(D7,$A$5:$H6,8,FALSE),0), … the same for E7 and F7)</t>
        </is>
      </c>
    </row>
    <row r="13">
      <c r="A13" s="10" t="inlineStr">
        <is>
          <t>H</t>
        </is>
      </c>
      <c r="B13" s="11" t="inlineStr">
        <is>
          <t>Rehearse the presentations</t>
        </is>
      </c>
      <c r="C13" s="5" t="n">
        <v>1</v>
      </c>
      <c r="D13" s="12" t="inlineStr">
        <is>
          <t>F</t>
        </is>
      </c>
      <c r="E13" s="12" t="inlineStr">
        <is>
          <t>G</t>
        </is>
      </c>
      <c r="F13" s="12" t="n"/>
      <c r="G13" s="6">
        <f>MAX(0,IFERROR(VLOOKUP(D13,$A$5:$H12,8,FALSE),0),IFERROR(VLOOKUP(E13,$A$5:$H12,8,FALSE),0),IFERROR(VLOOKUP(F13,$A$5:$H12,8,FALSE),0))</f>
        <v/>
      </c>
      <c r="H13" s="6">
        <f>G13+C13</f>
        <v/>
      </c>
      <c r="J13" s="9" t="inlineStr">
        <is>
          <t>The range $A$5:$H6 only reaches the rows ABOVE. That is why the activities are listed so that every predecessor comes before the activities that depend on it.</t>
        </is>
      </c>
    </row>
    <row r="14">
      <c r="A14" s="10" t="inlineStr">
        <is>
          <t>I</t>
        </is>
      </c>
      <c r="B14" s="11" t="inlineStr">
        <is>
          <t>Final briefing and walk-through</t>
        </is>
      </c>
      <c r="C14" s="5" t="n">
        <v>1</v>
      </c>
      <c r="D14" s="12" t="inlineStr">
        <is>
          <t>D</t>
        </is>
      </c>
      <c r="E14" s="12" t="inlineStr">
        <is>
          <t>H</t>
        </is>
      </c>
      <c r="F14" s="12" t="n"/>
      <c r="G14" s="6">
        <f>MAX(0,IFERROR(VLOOKUP(D14,$A$5:$H13,8,FALSE),0),IFERROR(VLOOKUP(E14,$A$5:$H13,8,FALSE),0),IFERROR(VLOOKUP(F14,$A$5:$H13,8,FALSE),0))</f>
        <v/>
      </c>
      <c r="H14" s="6">
        <f>G14+C14</f>
        <v/>
      </c>
    </row>
    <row r="15">
      <c r="J15" s="9" t="inlineStr">
        <is>
          <t>The minimum completion time is the largest EFT (cell C17).</t>
        </is>
      </c>
    </row>
    <row r="16">
      <c r="A16" s="3" t="inlineStr">
        <is>
          <t>Results</t>
        </is>
      </c>
    </row>
    <row r="17">
      <c r="B17" s="4" t="inlineStr">
        <is>
          <t>Minimum completion time (days)</t>
        </is>
      </c>
      <c r="C17" s="14">
        <f>MAX(H6:H14)</f>
        <v/>
      </c>
      <c r="J17" s="3" t="inlineStr">
        <is>
          <t>Try it</t>
        </is>
      </c>
    </row>
    <row r="18">
      <c r="J18" s="9" t="inlineStr">
        <is>
          <t>1. Hiring the equipment (C) takes 6 days instead of 4. Change C8. What is the new minimum completion time?</t>
        </is>
      </c>
    </row>
    <row r="19"/>
    <row r="20">
      <c r="J20" s="9" t="inlineStr">
        <is>
          <t>2. Set C back to 4. Designing the program (B) takes 5 days instead of 3. Change C7. What is the minimum completion time now?</t>
        </is>
      </c>
    </row>
    <row r="21"/>
    <row r="22">
      <c r="J22" s="9" t="inlineStr">
        <is>
          <t>3. Set B back to 3. Sending invitations (D) now also has to wait for the equipment (C). Type C in E9. Does the completion time change? Why?</t>
        </is>
      </c>
    </row>
    <row r="23"/>
    <row r="24">
      <c r="J24" s="2" t="inlineStr">
        <is>
          <t>Set every input back to its starting value when you finish (delete the C you typed in E9).</t>
        </is>
      </c>
    </row>
  </sheetData>
  <mergeCells count="13">
    <mergeCell ref="J22:S23"/>
    <mergeCell ref="J10:S11"/>
    <mergeCell ref="J24:S24"/>
    <mergeCell ref="J13:S14"/>
    <mergeCell ref="J5:S6"/>
    <mergeCell ref="A1:S1"/>
    <mergeCell ref="J9:S9"/>
    <mergeCell ref="J12:S12"/>
    <mergeCell ref="J20:S21"/>
    <mergeCell ref="J18:S19"/>
    <mergeCell ref="J15:S15"/>
    <mergeCell ref="A2:S2"/>
    <mergeCell ref="J7:S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3"/>
  <sheetViews>
    <sheetView showGridLines="0" workbookViewId="0">
      <selection activeCell="A1" sqref="A1"/>
    </sheetView>
  </sheetViews>
  <sheetFormatPr baseColWidth="8" defaultRowHeight="15"/>
  <cols>
    <col width="10" customWidth="1" min="1" max="1"/>
    <col width="11" customWidth="1" min="2" max="2"/>
    <col width="11" customWidth="1" min="3" max="3"/>
    <col width="11" customWidth="1" min="4" max="4"/>
    <col width="11" customWidth="1" min="5" max="5"/>
    <col width="9" customWidth="1" min="6" max="6"/>
    <col width="9" customWidth="1" min="7" max="7"/>
    <col width="9" customWidth="1" min="8" max="8"/>
    <col width="9" customWidth="1" min="9" max="9"/>
    <col width="9" customWidth="1" min="10" max="10"/>
    <col width="11" customWidth="1" min="11" max="11"/>
    <col width="3" customWidth="1" min="12" max="12"/>
    <col width="11" customWidth="1" min="13" max="13"/>
  </cols>
  <sheetData>
    <row r="1" ht="31.5" customHeight="1">
      <c r="A1" s="1" t="inlineStr">
        <is>
          <t>2   Backward scan, float and the critical path</t>
        </is>
      </c>
    </row>
    <row r="2" ht="30" customHeight="1">
      <c r="A2" s="2" t="inlineStr">
        <is>
          <t>Now work backwards from the end of the project to find how late each activity can start without delaying the open day. Activities with no spare time form the critical path.</t>
        </is>
      </c>
    </row>
    <row r="4">
      <c r="A4" s="3" t="inlineStr">
        <is>
          <t>Successors – the activities that have this one as an immediate predecessor</t>
        </is>
      </c>
      <c r="M4" s="3" t="inlineStr">
        <is>
          <t>How it works</t>
        </is>
      </c>
    </row>
    <row r="5" ht="31.5" customHeight="1">
      <c r="A5" s="7" t="inlineStr">
        <is>
          <t>Activity</t>
        </is>
      </c>
      <c r="B5" s="7" t="inlineStr">
        <is>
          <t>Duration (days)</t>
        </is>
      </c>
      <c r="C5" s="7" t="inlineStr">
        <is>
          <t>Immediate successor 1</t>
        </is>
      </c>
      <c r="D5" s="7" t="inlineStr">
        <is>
          <t>Immediate successor 2</t>
        </is>
      </c>
      <c r="E5" s="7" t="inlineStr">
        <is>
          <t>Immediate successor 3</t>
        </is>
      </c>
      <c r="F5" s="7" t="inlineStr">
        <is>
          <t>EST</t>
        </is>
      </c>
      <c r="G5" s="7" t="inlineStr">
        <is>
          <t>EFT</t>
        </is>
      </c>
      <c r="H5" s="7" t="inlineStr">
        <is>
          <t>LFT</t>
        </is>
      </c>
      <c r="I5" s="7" t="inlineStr">
        <is>
          <t>LST</t>
        </is>
      </c>
      <c r="J5" s="7" t="inlineStr">
        <is>
          <t>Float</t>
        </is>
      </c>
      <c r="K5" s="7" t="inlineStr">
        <is>
          <t>Critical?</t>
        </is>
      </c>
      <c r="M5" s="9" t="inlineStr">
        <is>
          <t>Backward scanning works UP the table, starting from the minimum completion time. An activity must finish in time for ALL of its immediate successors to start on time.</t>
        </is>
      </c>
    </row>
    <row r="6">
      <c r="A6" s="10">
        <f>'1 Forward scan'!A6</f>
        <v/>
      </c>
      <c r="B6" s="6">
        <f>'1 Forward scan'!C6</f>
        <v/>
      </c>
      <c r="C6" s="12" t="inlineStr">
        <is>
          <t>B</t>
        </is>
      </c>
      <c r="D6" s="12" t="inlineStr">
        <is>
          <t>C</t>
        </is>
      </c>
      <c r="E6" s="12" t="n"/>
      <c r="F6" s="6">
        <f>'1 Forward scan'!G6</f>
        <v/>
      </c>
      <c r="G6" s="6">
        <f>'1 Forward scan'!H6</f>
        <v/>
      </c>
      <c r="H6" s="6">
        <f>MIN($F$17,IFERROR(VLOOKUP(C6,$A7:$I$15,9,FALSE),$F$17),IFERROR(VLOOKUP(D6,$A7:$I$15,9,FALSE),$F$17),IFERROR(VLOOKUP(E6,$A7:$I$15,9,FALSE),$F$17))</f>
        <v/>
      </c>
      <c r="I6" s="6">
        <f>H6-B6</f>
        <v/>
      </c>
      <c r="J6" s="6">
        <f>I6-F6</f>
        <v/>
      </c>
      <c r="K6" s="10">
        <f>IF(J6=0,"Critical","")</f>
        <v/>
      </c>
    </row>
    <row r="7">
      <c r="A7" s="10">
        <f>'1 Forward scan'!A7</f>
        <v/>
      </c>
      <c r="B7" s="6">
        <f>'1 Forward scan'!C7</f>
        <v/>
      </c>
      <c r="C7" s="12" t="inlineStr">
        <is>
          <t>D</t>
        </is>
      </c>
      <c r="D7" s="12" t="inlineStr">
        <is>
          <t>E</t>
        </is>
      </c>
      <c r="E7" s="12" t="n"/>
      <c r="F7" s="6">
        <f>'1 Forward scan'!G7</f>
        <v/>
      </c>
      <c r="G7" s="6">
        <f>'1 Forward scan'!H7</f>
        <v/>
      </c>
      <c r="H7" s="6">
        <f>MIN($F$17,IFERROR(VLOOKUP(C7,$A8:$I$15,9,FALSE),$F$17),IFERROR(VLOOKUP(D7,$A8:$I$15,9,FALSE),$F$17),IFERROR(VLOOKUP(E7,$A8:$I$15,9,FALSE),$F$17))</f>
        <v/>
      </c>
      <c r="I7" s="6">
        <f>H7-B7</f>
        <v/>
      </c>
      <c r="J7" s="6">
        <f>I7-F7</f>
        <v/>
      </c>
      <c r="K7" s="10">
        <f>IF(J7=0,"Critical","")</f>
        <v/>
      </c>
      <c r="M7" s="9" t="inlineStr">
        <is>
          <t>LFT (latest finishing time) = the smallest LST of its immediate successors, or the completion time if it has none.   LST (latest starting time) = LFT − duration.</t>
        </is>
      </c>
    </row>
    <row r="8">
      <c r="A8" s="10">
        <f>'1 Forward scan'!A8</f>
        <v/>
      </c>
      <c r="B8" s="6">
        <f>'1 Forward scan'!C8</f>
        <v/>
      </c>
      <c r="C8" s="12" t="inlineStr">
        <is>
          <t>F</t>
        </is>
      </c>
      <c r="D8" s="12" t="inlineStr">
        <is>
          <t>G</t>
        </is>
      </c>
      <c r="E8" s="12" t="n"/>
      <c r="F8" s="6">
        <f>'1 Forward scan'!G8</f>
        <v/>
      </c>
      <c r="G8" s="6">
        <f>'1 Forward scan'!H8</f>
        <v/>
      </c>
      <c r="H8" s="6">
        <f>MIN($F$17,IFERROR(VLOOKUP(C8,$A9:$I$15,9,FALSE),$F$17),IFERROR(VLOOKUP(D8,$A9:$I$15,9,FALSE),$F$17),IFERROR(VLOOKUP(E8,$A9:$I$15,9,FALSE),$F$17))</f>
        <v/>
      </c>
      <c r="I8" s="6">
        <f>H8-B8</f>
        <v/>
      </c>
      <c r="J8" s="6">
        <f>I8-F8</f>
        <v/>
      </c>
      <c r="K8" s="10">
        <f>IF(J8=0,"Critical","")</f>
        <v/>
      </c>
    </row>
    <row r="9">
      <c r="A9" s="10">
        <f>'1 Forward scan'!A9</f>
        <v/>
      </c>
      <c r="B9" s="6">
        <f>'1 Forward scan'!C9</f>
        <v/>
      </c>
      <c r="C9" s="12" t="inlineStr">
        <is>
          <t>I</t>
        </is>
      </c>
      <c r="D9" s="12" t="n"/>
      <c r="E9" s="12" t="n"/>
      <c r="F9" s="6">
        <f>'1 Forward scan'!G9</f>
        <v/>
      </c>
      <c r="G9" s="6">
        <f>'1 Forward scan'!H9</f>
        <v/>
      </c>
      <c r="H9" s="6">
        <f>MIN($F$17,IFERROR(VLOOKUP(C9,$A10:$I$15,9,FALSE),$F$17),IFERROR(VLOOKUP(D9,$A10:$I$15,9,FALSE),$F$17),IFERROR(VLOOKUP(E9,$A10:$I$15,9,FALSE),$F$17))</f>
        <v/>
      </c>
      <c r="I9" s="6">
        <f>H9-B9</f>
        <v/>
      </c>
      <c r="J9" s="6">
        <f>I9-F9</f>
        <v/>
      </c>
      <c r="K9" s="10">
        <f>IF(J9=0,"Critical","")</f>
        <v/>
      </c>
      <c r="M9" s="13" t="inlineStr">
        <is>
          <t xml:space="preserve">    Cell H6:   =MIN($F$17, IFERROR(VLOOKUP(C6,$A7:$I$15,9,FALSE),$F$17), …)</t>
        </is>
      </c>
    </row>
    <row r="10">
      <c r="A10" s="10">
        <f>'1 Forward scan'!A10</f>
        <v/>
      </c>
      <c r="B10" s="6">
        <f>'1 Forward scan'!C10</f>
        <v/>
      </c>
      <c r="C10" s="12" t="inlineStr">
        <is>
          <t>G</t>
        </is>
      </c>
      <c r="D10" s="12" t="n"/>
      <c r="E10" s="12" t="n"/>
      <c r="F10" s="6">
        <f>'1 Forward scan'!G10</f>
        <v/>
      </c>
      <c r="G10" s="6">
        <f>'1 Forward scan'!H10</f>
        <v/>
      </c>
      <c r="H10" s="6">
        <f>MIN($F$17,IFERROR(VLOOKUP(C10,$A11:$I$15,9,FALSE),$F$17),IFERROR(VLOOKUP(D10,$A11:$I$15,9,FALSE),$F$17),IFERROR(VLOOKUP(E10,$A11:$I$15,9,FALSE),$F$17))</f>
        <v/>
      </c>
      <c r="I10" s="6">
        <f>H10-B10</f>
        <v/>
      </c>
      <c r="J10" s="6">
        <f>I10-F10</f>
        <v/>
      </c>
      <c r="K10" s="10">
        <f>IF(J10=0,"Critical","")</f>
        <v/>
      </c>
      <c r="M10" s="9" t="inlineStr">
        <is>
          <t>This time the range $A7:$I$15 only reaches the rows BELOW, because successors come later in the table.</t>
        </is>
      </c>
    </row>
    <row r="11">
      <c r="A11" s="10">
        <f>'1 Forward scan'!A11</f>
        <v/>
      </c>
      <c r="B11" s="6">
        <f>'1 Forward scan'!C11</f>
        <v/>
      </c>
      <c r="C11" s="12" t="inlineStr">
        <is>
          <t>H</t>
        </is>
      </c>
      <c r="D11" s="12" t="n"/>
      <c r="E11" s="12" t="n"/>
      <c r="F11" s="6">
        <f>'1 Forward scan'!G11</f>
        <v/>
      </c>
      <c r="G11" s="6">
        <f>'1 Forward scan'!H11</f>
        <v/>
      </c>
      <c r="H11" s="6">
        <f>MIN($F$17,IFERROR(VLOOKUP(C11,$A12:$I$15,9,FALSE),$F$17),IFERROR(VLOOKUP(D11,$A12:$I$15,9,FALSE),$F$17),IFERROR(VLOOKUP(E11,$A12:$I$15,9,FALSE),$F$17))</f>
        <v/>
      </c>
      <c r="I11" s="6">
        <f>H11-B11</f>
        <v/>
      </c>
      <c r="J11" s="6">
        <f>I11-F11</f>
        <v/>
      </c>
      <c r="K11" s="10">
        <f>IF(J11=0,"Critical","")</f>
        <v/>
      </c>
    </row>
    <row r="12">
      <c r="A12" s="10">
        <f>'1 Forward scan'!A12</f>
        <v/>
      </c>
      <c r="B12" s="6">
        <f>'1 Forward scan'!C12</f>
        <v/>
      </c>
      <c r="C12" s="12" t="inlineStr">
        <is>
          <t>H</t>
        </is>
      </c>
      <c r="D12" s="12" t="n"/>
      <c r="E12" s="12" t="n"/>
      <c r="F12" s="6">
        <f>'1 Forward scan'!G12</f>
        <v/>
      </c>
      <c r="G12" s="6">
        <f>'1 Forward scan'!H12</f>
        <v/>
      </c>
      <c r="H12" s="6">
        <f>MIN($F$17,IFERROR(VLOOKUP(C12,$A13:$I$15,9,FALSE),$F$17),IFERROR(VLOOKUP(D12,$A13:$I$15,9,FALSE),$F$17),IFERROR(VLOOKUP(E12,$A13:$I$15,9,FALSE),$F$17))</f>
        <v/>
      </c>
      <c r="I12" s="6">
        <f>H12-B12</f>
        <v/>
      </c>
      <c r="J12" s="6">
        <f>I12-F12</f>
        <v/>
      </c>
      <c r="K12" s="10">
        <f>IF(J12=0,"Critical","")</f>
        <v/>
      </c>
      <c r="M12" s="9" t="inlineStr">
        <is>
          <t>Float = LST − EST is how long an activity can be delayed without delaying the whole project. Activities with zero float are critical, and together they form the critical path.</t>
        </is>
      </c>
    </row>
    <row r="13">
      <c r="A13" s="10">
        <f>'1 Forward scan'!A13</f>
        <v/>
      </c>
      <c r="B13" s="6">
        <f>'1 Forward scan'!C13</f>
        <v/>
      </c>
      <c r="C13" s="12" t="inlineStr">
        <is>
          <t>I</t>
        </is>
      </c>
      <c r="D13" s="12" t="n"/>
      <c r="E13" s="12" t="n"/>
      <c r="F13" s="6">
        <f>'1 Forward scan'!G13</f>
        <v/>
      </c>
      <c r="G13" s="6">
        <f>'1 Forward scan'!H13</f>
        <v/>
      </c>
      <c r="H13" s="6">
        <f>MIN($F$17,IFERROR(VLOOKUP(C13,$A14:$I$15,9,FALSE),$F$17),IFERROR(VLOOKUP(D13,$A14:$I$15,9,FALSE),$F$17),IFERROR(VLOOKUP(E13,$A14:$I$15,9,FALSE),$F$17))</f>
        <v/>
      </c>
      <c r="I13" s="6">
        <f>H13-B13</f>
        <v/>
      </c>
      <c r="J13" s="6">
        <f>I13-F13</f>
        <v/>
      </c>
      <c r="K13" s="10">
        <f>IF(J13=0,"Critical","")</f>
        <v/>
      </c>
    </row>
    <row r="14">
      <c r="A14" s="10">
        <f>'1 Forward scan'!A14</f>
        <v/>
      </c>
      <c r="B14" s="6">
        <f>'1 Forward scan'!C14</f>
        <v/>
      </c>
      <c r="C14" s="12" t="n"/>
      <c r="D14" s="12" t="n"/>
      <c r="E14" s="12" t="n"/>
      <c r="F14" s="6">
        <f>'1 Forward scan'!G14</f>
        <v/>
      </c>
      <c r="G14" s="6">
        <f>'1 Forward scan'!H14</f>
        <v/>
      </c>
      <c r="H14" s="6">
        <f>MIN($F$17,IFERROR(VLOOKUP(C14,$A15:$I$15,9,FALSE),$F$17),IFERROR(VLOOKUP(D14,$A15:$I$15,9,FALSE),$F$17),IFERROR(VLOOKUP(E14,$A15:$I$15,9,FALSE),$F$17))</f>
        <v/>
      </c>
      <c r="I14" s="6">
        <f>H14-B14</f>
        <v/>
      </c>
      <c r="J14" s="6">
        <f>I14-F14</f>
        <v/>
      </c>
      <c r="K14" s="10">
        <f>IF(J14=0,"Critical","")</f>
        <v/>
      </c>
      <c r="M14" s="13" t="inlineStr">
        <is>
          <t xml:space="preserve">    Cell J6:   =I6-F6          Cell K6:   =IF(J6=0,"Critical","")</t>
        </is>
      </c>
    </row>
    <row r="15">
      <c r="M15" s="9" t="inlineStr">
        <is>
          <t>Durations, ESTs and EFTs come from tab 1. If you change a predecessor on tab 1, update the successors here to match.</t>
        </is>
      </c>
    </row>
    <row r="16">
      <c r="A16" s="3" t="inlineStr">
        <is>
          <t>Results</t>
        </is>
      </c>
    </row>
    <row r="17">
      <c r="A17" s="4" t="inlineStr">
        <is>
          <t>Minimum completion time (days)</t>
        </is>
      </c>
      <c r="F17" s="14">
        <f>MAX(G6:G14)</f>
        <v/>
      </c>
    </row>
    <row r="18">
      <c r="A18" s="4" t="inlineStr">
        <is>
          <t>Critical activities</t>
        </is>
      </c>
      <c r="F18" s="15">
        <f>SUBSTITUTE(TRIM(IF(J6=0,A6&amp;" ","")&amp;IF(J7=0,A7&amp;" ","")&amp;IF(J8=0,A8&amp;" ","")&amp;IF(J9=0,A9&amp;" ","")&amp;IF(J10=0,A10&amp;" ","")&amp;IF(J11=0,A11&amp;" ","")&amp;IF(J12=0,A12&amp;" ","")&amp;IF(J13=0,A13&amp;" ","")&amp;IF(J14=0,A14&amp;" ",""))," "," – ")</f>
        <v/>
      </c>
      <c r="G18" s="16" t="n"/>
      <c r="H18" s="17" t="n"/>
      <c r="M18" s="3" t="inlineStr">
        <is>
          <t>Try it</t>
        </is>
      </c>
    </row>
    <row r="19">
      <c r="M19" s="9" t="inlineStr">
        <is>
          <t>1. Which activity has the most float? What does that mean for the people doing it?</t>
        </is>
      </c>
    </row>
    <row r="20">
      <c r="M20" s="9" t="inlineStr">
        <is>
          <t>2. On tab 1, change printing the programs (E) to 2 days. Does the completion time change? What happens to the float of B, D, E and G?</t>
        </is>
      </c>
    </row>
    <row r="21"/>
    <row r="22">
      <c r="M22" s="9" t="inlineStr">
        <is>
          <t>3. Why must every activity on the critical path have zero float?</t>
        </is>
      </c>
    </row>
    <row r="23">
      <c r="M23" s="2" t="inlineStr">
        <is>
          <t>Set E back to 1 day when you finish.</t>
        </is>
      </c>
    </row>
  </sheetData>
  <mergeCells count="14">
    <mergeCell ref="A2:V2"/>
    <mergeCell ref="M14:V14"/>
    <mergeCell ref="M19:V19"/>
    <mergeCell ref="M10:V11"/>
    <mergeCell ref="M20:V21"/>
    <mergeCell ref="M9:V9"/>
    <mergeCell ref="F18:H18"/>
    <mergeCell ref="M15:V16"/>
    <mergeCell ref="M22:V22"/>
    <mergeCell ref="A1:V1"/>
    <mergeCell ref="M5:V6"/>
    <mergeCell ref="M12:V13"/>
    <mergeCell ref="M23:V23"/>
    <mergeCell ref="M7:V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8"/>
  <sheetViews>
    <sheetView showGridLines="0" workbookViewId="0">
      <selection activeCell="A1" sqref="A1"/>
    </sheetView>
  </sheetViews>
  <sheetFormatPr baseColWidth="8" defaultRowHeight="15"/>
  <cols>
    <col width="10" customWidth="1" min="1" max="1"/>
    <col width="13" customWidth="1" min="2" max="2"/>
    <col width="13" customWidth="1" min="3" max="3"/>
    <col width="13" customWidth="1" min="4" max="4"/>
    <col width="13" customWidth="1" min="5" max="5"/>
    <col width="3" customWidth="1" min="6" max="6"/>
    <col width="11" customWidth="1" min="7" max="7"/>
  </cols>
  <sheetData>
    <row r="1" ht="31.5" customHeight="1">
      <c r="A1" s="1" t="inlineStr">
        <is>
          <t>3   Gantt chart</t>
        </is>
      </c>
    </row>
    <row r="2" ht="30" customHeight="1">
      <c r="A2" s="2" t="inlineStr">
        <is>
          <t>A Gantt chart draws each activity as a bar along a time line, starting at its EST. This one is linked to tabs 1 and 2, so it redraws when a duration changes.</t>
        </is>
      </c>
    </row>
    <row r="4">
      <c r="A4" s="3" t="inlineStr">
        <is>
          <t>Chart data – linked to tab 2</t>
        </is>
      </c>
      <c r="G4" s="3" t="inlineStr">
        <is>
          <t>How it works</t>
        </is>
      </c>
    </row>
    <row r="5" ht="31.5" customHeight="1">
      <c r="A5" s="7" t="inlineStr">
        <is>
          <t>Activity</t>
        </is>
      </c>
      <c r="B5" s="7" t="inlineStr">
        <is>
          <t>Start (EST)</t>
        </is>
      </c>
      <c r="C5" s="7" t="inlineStr">
        <is>
          <t>Critical activity</t>
        </is>
      </c>
      <c r="D5" s="7" t="inlineStr">
        <is>
          <t>Non-critical activity</t>
        </is>
      </c>
      <c r="E5" s="7" t="inlineStr">
        <is>
          <t>Float</t>
        </is>
      </c>
      <c r="G5" s="9" t="inlineStr">
        <is>
          <t>Each bar starts at the activity’s EST and is as long as its duration.</t>
        </is>
      </c>
    </row>
    <row r="6">
      <c r="A6" s="10">
        <f>'2 Backward scan'!A6</f>
        <v/>
      </c>
      <c r="B6" s="6">
        <f>'2 Backward scan'!F6</f>
        <v/>
      </c>
      <c r="C6" s="6">
        <f>IF('2 Backward scan'!J6=0,'2 Backward scan'!B6,0)</f>
        <v/>
      </c>
      <c r="D6" s="6">
        <f>IF('2 Backward scan'!J6&gt;0,'2 Backward scan'!B6,0)</f>
        <v/>
      </c>
      <c r="E6" s="6">
        <f>'2 Backward scan'!J6</f>
        <v/>
      </c>
      <c r="G6" s="9" t="inlineStr">
        <is>
          <t>The chart is a stacked bar chart. Its first series (the EST) has no fill, so each visible bar appears to start in the right place.</t>
        </is>
      </c>
    </row>
    <row r="7">
      <c r="A7" s="10">
        <f>'2 Backward scan'!A7</f>
        <v/>
      </c>
      <c r="B7" s="6">
        <f>'2 Backward scan'!F7</f>
        <v/>
      </c>
      <c r="C7" s="6">
        <f>IF('2 Backward scan'!J7=0,'2 Backward scan'!B7,0)</f>
        <v/>
      </c>
      <c r="D7" s="6">
        <f>IF('2 Backward scan'!J7&gt;0,'2 Backward scan'!B7,0)</f>
        <v/>
      </c>
      <c r="E7" s="6">
        <f>'2 Backward scan'!J7</f>
        <v/>
      </c>
    </row>
    <row r="8">
      <c r="A8" s="10">
        <f>'2 Backward scan'!A8</f>
        <v/>
      </c>
      <c r="B8" s="6">
        <f>'2 Backward scan'!F8</f>
        <v/>
      </c>
      <c r="C8" s="6">
        <f>IF('2 Backward scan'!J8=0,'2 Backward scan'!B8,0)</f>
        <v/>
      </c>
      <c r="D8" s="6">
        <f>IF('2 Backward scan'!J8&gt;0,'2 Backward scan'!B8,0)</f>
        <v/>
      </c>
      <c r="E8" s="6">
        <f>'2 Backward scan'!J8</f>
        <v/>
      </c>
      <c r="G8" s="9" t="inlineStr">
        <is>
          <t>Critical activities are red. Non-critical activities are blue, followed by a dashed box showing their float – how far the bar could slide to the right without delaying the project.</t>
        </is>
      </c>
    </row>
    <row r="9">
      <c r="A9" s="10">
        <f>'2 Backward scan'!A9</f>
        <v/>
      </c>
      <c r="B9" s="6">
        <f>'2 Backward scan'!F9</f>
        <v/>
      </c>
      <c r="C9" s="6">
        <f>IF('2 Backward scan'!J9=0,'2 Backward scan'!B9,0)</f>
        <v/>
      </c>
      <c r="D9" s="6">
        <f>IF('2 Backward scan'!J9&gt;0,'2 Backward scan'!B9,0)</f>
        <v/>
      </c>
      <c r="E9" s="6">
        <f>'2 Backward scan'!J9</f>
        <v/>
      </c>
    </row>
    <row r="10">
      <c r="A10" s="10">
        <f>'2 Backward scan'!A10</f>
        <v/>
      </c>
      <c r="B10" s="6">
        <f>'2 Backward scan'!F10</f>
        <v/>
      </c>
      <c r="C10" s="6">
        <f>IF('2 Backward scan'!J10=0,'2 Backward scan'!B10,0)</f>
        <v/>
      </c>
      <c r="D10" s="6">
        <f>IF('2 Backward scan'!J10&gt;0,'2 Backward scan'!B10,0)</f>
        <v/>
      </c>
      <c r="E10" s="6">
        <f>'2 Backward scan'!J10</f>
        <v/>
      </c>
      <c r="G10" s="13" t="inlineStr">
        <is>
          <t xml:space="preserve">    Cell C6:   =IF('2 Backward scan'!J6=0,'2 Backward scan'!B6,0)</t>
        </is>
      </c>
    </row>
    <row r="11">
      <c r="A11" s="10">
        <f>'2 Backward scan'!A11</f>
        <v/>
      </c>
      <c r="B11" s="6">
        <f>'2 Backward scan'!F11</f>
        <v/>
      </c>
      <c r="C11" s="6">
        <f>IF('2 Backward scan'!J11=0,'2 Backward scan'!B11,0)</f>
        <v/>
      </c>
      <c r="D11" s="6">
        <f>IF('2 Backward scan'!J11&gt;0,'2 Backward scan'!B11,0)</f>
        <v/>
      </c>
      <c r="E11" s="6">
        <f>'2 Backward scan'!J11</f>
        <v/>
      </c>
      <c r="G11" s="9" t="inlineStr">
        <is>
          <t>Read the critical path from the red bars: each one starts exactly when the one before it finishes.</t>
        </is>
      </c>
    </row>
    <row r="12">
      <c r="A12" s="10">
        <f>'2 Backward scan'!A12</f>
        <v/>
      </c>
      <c r="B12" s="6">
        <f>'2 Backward scan'!F12</f>
        <v/>
      </c>
      <c r="C12" s="6">
        <f>IF('2 Backward scan'!J12=0,'2 Backward scan'!B12,0)</f>
        <v/>
      </c>
      <c r="D12" s="6">
        <f>IF('2 Backward scan'!J12&gt;0,'2 Backward scan'!B12,0)</f>
        <v/>
      </c>
      <c r="E12" s="6">
        <f>'2 Backward scan'!J12</f>
        <v/>
      </c>
    </row>
    <row r="13">
      <c r="A13" s="10">
        <f>'2 Backward scan'!A13</f>
        <v/>
      </c>
      <c r="B13" s="6">
        <f>'2 Backward scan'!F13</f>
        <v/>
      </c>
      <c r="C13" s="6">
        <f>IF('2 Backward scan'!J13=0,'2 Backward scan'!B13,0)</f>
        <v/>
      </c>
      <c r="D13" s="6">
        <f>IF('2 Backward scan'!J13&gt;0,'2 Backward scan'!B13,0)</f>
        <v/>
      </c>
      <c r="E13" s="6">
        <f>'2 Backward scan'!J13</f>
        <v/>
      </c>
    </row>
    <row r="14">
      <c r="A14" s="10">
        <f>'2 Backward scan'!A14</f>
        <v/>
      </c>
      <c r="B14" s="6">
        <f>'2 Backward scan'!F14</f>
        <v/>
      </c>
      <c r="C14" s="6">
        <f>IF('2 Backward scan'!J14=0,'2 Backward scan'!B14,0)</f>
        <v/>
      </c>
      <c r="D14" s="6">
        <f>IF('2 Backward scan'!J14&gt;0,'2 Backward scan'!B14,0)</f>
        <v/>
      </c>
      <c r="E14" s="6">
        <f>'2 Backward scan'!J14</f>
        <v/>
      </c>
      <c r="G14" s="3" t="inlineStr">
        <is>
          <t>Try it</t>
        </is>
      </c>
    </row>
    <row r="15">
      <c r="G15" s="9" t="inlineStr">
        <is>
          <t>1. Use the chart: what is the latest day that sending the invitations (D) can start?</t>
        </is>
      </c>
    </row>
    <row r="16">
      <c r="G16" s="9" t="inlineStr">
        <is>
          <t>2. On tab 1, change training the volunteers (F) to 4 days. What changes on the chart?</t>
        </is>
      </c>
    </row>
    <row r="17">
      <c r="G17" s="9" t="inlineStr">
        <is>
          <t>3. Which activities are under way during day 7 (between time 6 and time 7)?</t>
        </is>
      </c>
    </row>
    <row r="18">
      <c r="G18" s="2" t="inlineStr">
        <is>
          <t>Set F back to 3 days when you finish.</t>
        </is>
      </c>
    </row>
  </sheetData>
  <mergeCells count="11">
    <mergeCell ref="G10:P10"/>
    <mergeCell ref="G5:P5"/>
    <mergeCell ref="A1:P1"/>
    <mergeCell ref="G18:P18"/>
    <mergeCell ref="G16:P16"/>
    <mergeCell ref="G8:P9"/>
    <mergeCell ref="G17:P17"/>
    <mergeCell ref="G15:P15"/>
    <mergeCell ref="G11:P12"/>
    <mergeCell ref="G6:P7"/>
    <mergeCell ref="A2:P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U21"/>
  <sheetViews>
    <sheetView showGridLines="0" workbookViewId="0">
      <selection activeCell="A1" sqref="A1"/>
    </sheetView>
  </sheetViews>
  <sheetFormatPr baseColWidth="8" defaultRowHeight="15"/>
  <cols>
    <col width="10" customWidth="1" min="1" max="1"/>
    <col width="12" customWidth="1" min="2" max="2"/>
    <col width="12" customWidth="1" min="3" max="3"/>
    <col width="12" customWidth="1" min="4" max="4"/>
    <col width="9" customWidth="1" min="5" max="5"/>
    <col width="9" customWidth="1" min="6" max="6"/>
    <col width="9" customWidth="1" min="7" max="7"/>
    <col width="9" customWidth="1" min="8" max="8"/>
    <col width="9" customWidth="1" min="9" max="9"/>
    <col width="11" customWidth="1" min="10" max="10"/>
    <col width="3" customWidth="1" min="11" max="11"/>
    <col width="11" customWidth="1" min="12" max="12"/>
  </cols>
  <sheetData>
    <row r="1" ht="31.5" customHeight="1">
      <c r="A1" s="1" t="inlineStr">
        <is>
          <t>4   Increasing or reducing durations</t>
        </is>
      </c>
    </row>
    <row r="2" ht="30" customHeight="1">
      <c r="A2" s="2" t="inlineStr">
        <is>
          <t>What happens to the open day if an activity is delayed, or if extra helpers make an activity faster? Type a change in column C and both scans rerun.</t>
        </is>
      </c>
    </row>
    <row r="4">
      <c r="A4" s="3" t="inlineStr">
        <is>
          <t>Type a change in days: 2 for a 2-day delay, −1 to finish a day sooner</t>
        </is>
      </c>
      <c r="L4" s="3" t="inlineStr">
        <is>
          <t>How it works</t>
        </is>
      </c>
    </row>
    <row r="5" ht="31.5" customHeight="1">
      <c r="A5" s="7" t="inlineStr">
        <is>
          <t>Activity</t>
        </is>
      </c>
      <c r="B5" s="7" t="inlineStr">
        <is>
          <t>Original duration (days)</t>
        </is>
      </c>
      <c r="C5" s="7" t="inlineStr">
        <is>
          <t>Change (days)</t>
        </is>
      </c>
      <c r="D5" s="7" t="inlineStr">
        <is>
          <t>New duration (days)</t>
        </is>
      </c>
      <c r="E5" s="7" t="inlineStr">
        <is>
          <t>EST</t>
        </is>
      </c>
      <c r="F5" s="7" t="inlineStr">
        <is>
          <t>EFT</t>
        </is>
      </c>
      <c r="G5" s="7" t="inlineStr">
        <is>
          <t>LFT</t>
        </is>
      </c>
      <c r="H5" s="7" t="inlineStr">
        <is>
          <t>LST</t>
        </is>
      </c>
      <c r="I5" s="7" t="inlineStr">
        <is>
          <t>Float</t>
        </is>
      </c>
      <c r="J5" s="7" t="inlineStr">
        <is>
          <t>Critical?</t>
        </is>
      </c>
      <c r="L5" s="9" t="inlineStr">
        <is>
          <t>The model reruns the forward and backward scans using the new durations in column D. The predecessors and successors are the ones in the original precedence table, typed into the formulas.</t>
        </is>
      </c>
    </row>
    <row r="6">
      <c r="A6" s="10" t="inlineStr">
        <is>
          <t>A</t>
        </is>
      </c>
      <c r="B6" s="6">
        <f>'1 Forward scan'!C6</f>
        <v/>
      </c>
      <c r="C6" s="5" t="n">
        <v>0</v>
      </c>
      <c r="D6" s="6">
        <f>B6+C6</f>
        <v/>
      </c>
      <c r="E6" s="6" t="n">
        <v>0</v>
      </c>
      <c r="F6" s="6">
        <f>E6+D6</f>
        <v/>
      </c>
      <c r="G6" s="6">
        <f>MIN($E$19,IFERROR(VLOOKUP("B",$A7:$H$15,8,FALSE),$E$19),IFERROR(VLOOKUP("C",$A7:$H$15,8,FALSE),$E$19))</f>
        <v/>
      </c>
      <c r="H6" s="6">
        <f>G6-D6</f>
        <v/>
      </c>
      <c r="I6" s="6">
        <f>H6-E6</f>
        <v/>
      </c>
      <c r="J6" s="10">
        <f>IF(I6=0,"Critical","")</f>
        <v/>
      </c>
    </row>
    <row r="7">
      <c r="A7" s="10" t="inlineStr">
        <is>
          <t>B</t>
        </is>
      </c>
      <c r="B7" s="6">
        <f>'1 Forward scan'!C7</f>
        <v/>
      </c>
      <c r="C7" s="5" t="n">
        <v>0</v>
      </c>
      <c r="D7" s="6">
        <f>B7+C7</f>
        <v/>
      </c>
      <c r="E7" s="6">
        <f>MAX(0,IFERROR(VLOOKUP("A",$A$5:$F6,6,FALSE),0))</f>
        <v/>
      </c>
      <c r="F7" s="6">
        <f>E7+D7</f>
        <v/>
      </c>
      <c r="G7" s="6">
        <f>MIN($E$19,IFERROR(VLOOKUP("D",$A8:$H$15,8,FALSE),$E$19),IFERROR(VLOOKUP("E",$A8:$H$15,8,FALSE),$E$19))</f>
        <v/>
      </c>
      <c r="H7" s="6">
        <f>G7-D7</f>
        <v/>
      </c>
      <c r="I7" s="6">
        <f>H7-E7</f>
        <v/>
      </c>
      <c r="J7" s="10">
        <f>IF(I7=0,"Critical","")</f>
        <v/>
      </c>
      <c r="L7" s="13" t="inlineStr">
        <is>
          <t xml:space="preserve">    Cell E13:   =MAX(0, IFERROR(VLOOKUP("F",$A$5:$F12,6,FALSE),0), IFERROR(VLOOKUP("G",$A$5:$F12,6,FALSE),0))</t>
        </is>
      </c>
    </row>
    <row r="8">
      <c r="A8" s="10" t="inlineStr">
        <is>
          <t>C</t>
        </is>
      </c>
      <c r="B8" s="6">
        <f>'1 Forward scan'!C8</f>
        <v/>
      </c>
      <c r="C8" s="5" t="n">
        <v>0</v>
      </c>
      <c r="D8" s="6">
        <f>B8+C8</f>
        <v/>
      </c>
      <c r="E8" s="6">
        <f>MAX(0,IFERROR(VLOOKUP("A",$A$5:$F7,6,FALSE),0))</f>
        <v/>
      </c>
      <c r="F8" s="6">
        <f>E8+D8</f>
        <v/>
      </c>
      <c r="G8" s="6">
        <f>MIN($E$19,IFERROR(VLOOKUP("F",$A9:$H$15,8,FALSE),$E$19),IFERROR(VLOOKUP("G",$A9:$H$15,8,FALSE),$E$19))</f>
        <v/>
      </c>
      <c r="H8" s="6">
        <f>G8-D8</f>
        <v/>
      </c>
      <c r="I8" s="6">
        <f>H8-E8</f>
        <v/>
      </c>
      <c r="J8" s="10">
        <f>IF(I8=0,"Critical","")</f>
        <v/>
      </c>
    </row>
    <row r="9">
      <c r="A9" s="10" t="inlineStr">
        <is>
          <t>D</t>
        </is>
      </c>
      <c r="B9" s="6">
        <f>'1 Forward scan'!C9</f>
        <v/>
      </c>
      <c r="C9" s="5" t="n">
        <v>0</v>
      </c>
      <c r="D9" s="6">
        <f>B9+C9</f>
        <v/>
      </c>
      <c r="E9" s="6">
        <f>MAX(0,IFERROR(VLOOKUP("B",$A$5:$F8,6,FALSE),0))</f>
        <v/>
      </c>
      <c r="F9" s="6">
        <f>E9+D9</f>
        <v/>
      </c>
      <c r="G9" s="6">
        <f>MIN($E$19,IFERROR(VLOOKUP("I",$A10:$H$15,8,FALSE),$E$19))</f>
        <v/>
      </c>
      <c r="H9" s="6">
        <f>G9-D9</f>
        <v/>
      </c>
      <c r="I9" s="6">
        <f>H9-E9</f>
        <v/>
      </c>
      <c r="J9" s="10">
        <f>IF(I9=0,"Critical","")</f>
        <v/>
      </c>
      <c r="L9" s="9" t="inlineStr">
        <is>
          <t>Delaying a CRITICAL activity delays the whole project by the same amount.</t>
        </is>
      </c>
    </row>
    <row r="10">
      <c r="A10" s="10" t="inlineStr">
        <is>
          <t>E</t>
        </is>
      </c>
      <c r="B10" s="6">
        <f>'1 Forward scan'!C10</f>
        <v/>
      </c>
      <c r="C10" s="5" t="n">
        <v>0</v>
      </c>
      <c r="D10" s="6">
        <f>B10+C10</f>
        <v/>
      </c>
      <c r="E10" s="6">
        <f>MAX(0,IFERROR(VLOOKUP("B",$A$5:$F9,6,FALSE),0))</f>
        <v/>
      </c>
      <c r="F10" s="6">
        <f>E10+D10</f>
        <v/>
      </c>
      <c r="G10" s="6">
        <f>MIN($E$19,IFERROR(VLOOKUP("G",$A11:$H$15,8,FALSE),$E$19))</f>
        <v/>
      </c>
      <c r="H10" s="6">
        <f>G10-D10</f>
        <v/>
      </c>
      <c r="I10" s="6">
        <f>H10-E10</f>
        <v/>
      </c>
      <c r="J10" s="10">
        <f>IF(I10=0,"Critical","")</f>
        <v/>
      </c>
      <c r="L10" s="9" t="inlineStr">
        <is>
          <t>Delaying a NON-CRITICAL activity has no effect until the delay is more than its float. After that, it becomes critical and the project is delayed.</t>
        </is>
      </c>
    </row>
    <row r="11">
      <c r="A11" s="10" t="inlineStr">
        <is>
          <t>F</t>
        </is>
      </c>
      <c r="B11" s="6">
        <f>'1 Forward scan'!C11</f>
        <v/>
      </c>
      <c r="C11" s="5" t="n">
        <v>0</v>
      </c>
      <c r="D11" s="6">
        <f>B11+C11</f>
        <v/>
      </c>
      <c r="E11" s="6">
        <f>MAX(0,IFERROR(VLOOKUP("C",$A$5:$F10,6,FALSE),0))</f>
        <v/>
      </c>
      <c r="F11" s="6">
        <f>E11+D11</f>
        <v/>
      </c>
      <c r="G11" s="6">
        <f>MIN($E$19,IFERROR(VLOOKUP("H",$A12:$H$15,8,FALSE),$E$19))</f>
        <v/>
      </c>
      <c r="H11" s="6">
        <f>G11-D11</f>
        <v/>
      </c>
      <c r="I11" s="6">
        <f>H11-E11</f>
        <v/>
      </c>
      <c r="J11" s="10">
        <f>IF(I11=0,"Critical","")</f>
        <v/>
      </c>
    </row>
    <row r="12">
      <c r="A12" s="10" t="inlineStr">
        <is>
          <t>G</t>
        </is>
      </c>
      <c r="B12" s="6">
        <f>'1 Forward scan'!C12</f>
        <v/>
      </c>
      <c r="C12" s="5" t="n">
        <v>0</v>
      </c>
      <c r="D12" s="6">
        <f>B12+C12</f>
        <v/>
      </c>
      <c r="E12" s="6">
        <f>MAX(0,IFERROR(VLOOKUP("C",$A$5:$F11,6,FALSE),0),IFERROR(VLOOKUP("E",$A$5:$F11,6,FALSE),0))</f>
        <v/>
      </c>
      <c r="F12" s="6">
        <f>E12+D12</f>
        <v/>
      </c>
      <c r="G12" s="6">
        <f>MIN($E$19,IFERROR(VLOOKUP("H",$A13:$H$15,8,FALSE),$E$19))</f>
        <v/>
      </c>
      <c r="H12" s="6">
        <f>G12-D12</f>
        <v/>
      </c>
      <c r="I12" s="6">
        <f>H12-E12</f>
        <v/>
      </c>
      <c r="J12" s="10">
        <f>IF(I12=0,"Critical","")</f>
        <v/>
      </c>
      <c r="L12" s="9" t="inlineStr">
        <is>
          <t>Reducing a critical activity can shorten the project – but only until another path becomes critical. Then the project cannot finish any sooner unless that path is shortened too.</t>
        </is>
      </c>
    </row>
    <row r="13">
      <c r="A13" s="10" t="inlineStr">
        <is>
          <t>H</t>
        </is>
      </c>
      <c r="B13" s="6">
        <f>'1 Forward scan'!C13</f>
        <v/>
      </c>
      <c r="C13" s="5" t="n">
        <v>0</v>
      </c>
      <c r="D13" s="6">
        <f>B13+C13</f>
        <v/>
      </c>
      <c r="E13" s="6">
        <f>MAX(0,IFERROR(VLOOKUP("F",$A$5:$F12,6,FALSE),0),IFERROR(VLOOKUP("G",$A$5:$F12,6,FALSE),0))</f>
        <v/>
      </c>
      <c r="F13" s="6">
        <f>E13+D13</f>
        <v/>
      </c>
      <c r="G13" s="6">
        <f>MIN($E$19,IFERROR(VLOOKUP("I",$A14:$H$15,8,FALSE),$E$19))</f>
        <v/>
      </c>
      <c r="H13" s="6">
        <f>G13-D13</f>
        <v/>
      </c>
      <c r="I13" s="6">
        <f>H13-E13</f>
        <v/>
      </c>
      <c r="J13" s="10">
        <f>IF(I13=0,"Critical","")</f>
        <v/>
      </c>
    </row>
    <row r="14">
      <c r="A14" s="10" t="inlineStr">
        <is>
          <t>I</t>
        </is>
      </c>
      <c r="B14" s="6">
        <f>'1 Forward scan'!C14</f>
        <v/>
      </c>
      <c r="C14" s="5" t="n">
        <v>0</v>
      </c>
      <c r="D14" s="6">
        <f>B14+C14</f>
        <v/>
      </c>
      <c r="E14" s="6">
        <f>MAX(0,IFERROR(VLOOKUP("D",$A$5:$F13,6,FALSE),0),IFERROR(VLOOKUP("H",$A$5:$F13,6,FALSE),0))</f>
        <v/>
      </c>
      <c r="F14" s="6">
        <f>E14+D14</f>
        <v/>
      </c>
      <c r="G14" s="6">
        <f>$E$19</f>
        <v/>
      </c>
      <c r="H14" s="6">
        <f>G14-D14</f>
        <v/>
      </c>
      <c r="I14" s="6">
        <f>H14-E14</f>
        <v/>
      </c>
      <c r="J14" s="10">
        <f>IF(I14=0,"Critical","")</f>
        <v/>
      </c>
    </row>
    <row r="15">
      <c r="L15" s="3" t="inlineStr">
        <is>
          <t>Try it</t>
        </is>
      </c>
    </row>
    <row r="16">
      <c r="L16" s="9" t="inlineStr">
        <is>
          <t>1. Training the volunteers (F) is delayed by 2 days. What is the new completion time?</t>
        </is>
      </c>
    </row>
    <row r="17">
      <c r="A17" s="3" t="inlineStr">
        <is>
          <t>Results</t>
        </is>
      </c>
      <c r="L17" s="9" t="inlineStr">
        <is>
          <t>2. Reset F. Sending the invitations (D) is delayed by 2 days. What happens? What about 3 days?</t>
        </is>
      </c>
    </row>
    <row r="18">
      <c r="A18" s="4" t="inlineStr">
        <is>
          <t>Original completion time (days)</t>
        </is>
      </c>
      <c r="E18" s="6">
        <f>'1 Forward scan'!C17</f>
        <v/>
      </c>
      <c r="L18" s="9" t="inlineStr">
        <is>
          <t>3. Reset D. With extra help, hiring the equipment (C) takes 1 day less. What is the new completion time? What if C took 2 days less?</t>
        </is>
      </c>
    </row>
    <row r="19">
      <c r="A19" s="4" t="inlineStr">
        <is>
          <t>New completion time (days)</t>
        </is>
      </c>
      <c r="E19" s="14">
        <f>MAX(F6:F14)</f>
        <v/>
      </c>
    </row>
    <row r="20">
      <c r="A20" s="4" t="inlineStr">
        <is>
          <t>Change in completion time (days)</t>
        </is>
      </c>
      <c r="E20" s="14">
        <f>E19-E18</f>
        <v/>
      </c>
      <c r="L20" s="2" t="inlineStr">
        <is>
          <t>Set every change back to 0 when you finish.</t>
        </is>
      </c>
    </row>
    <row r="21">
      <c r="A21" s="4" t="inlineStr">
        <is>
          <t>Critical activities now</t>
        </is>
      </c>
      <c r="E21" s="15">
        <f>SUBSTITUTE(TRIM(IF(I6=0,A6&amp;" ","")&amp;IF(I7=0,A7&amp;" ","")&amp;IF(I8=0,A8&amp;" ","")&amp;IF(I9=0,A9&amp;" ","")&amp;IF(I10=0,A10&amp;" ","")&amp;IF(I11=0,A11&amp;" ","")&amp;IF(I12=0,A12&amp;" ","")&amp;IF(I13=0,A13&amp;" ","")&amp;IF(I14=0,A14&amp;" ",""))," "," – ")</f>
        <v/>
      </c>
      <c r="F21" s="16" t="n"/>
      <c r="G21" s="17" t="n"/>
    </row>
  </sheetData>
  <mergeCells count="12">
    <mergeCell ref="L10:U11"/>
    <mergeCell ref="L18:U19"/>
    <mergeCell ref="A2:U2"/>
    <mergeCell ref="L9:U9"/>
    <mergeCell ref="L5:U6"/>
    <mergeCell ref="L12:U13"/>
    <mergeCell ref="L17:U17"/>
    <mergeCell ref="L20:U20"/>
    <mergeCell ref="E21:G21"/>
    <mergeCell ref="A1:U1"/>
    <mergeCell ref="L7:U8"/>
    <mergeCell ref="L16:U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26" customWidth="1" min="1" max="1"/>
    <col width="8" customWidth="1" min="2" max="2"/>
    <col width="120" customWidth="1" min="3" max="3"/>
  </cols>
  <sheetData>
    <row r="1" ht="31.5" customHeight="1">
      <c r="A1" s="1" t="inlineStr">
        <is>
          <t>Try it – answers</t>
        </is>
      </c>
    </row>
    <row r="2" ht="30" customHeight="1">
      <c r="A2" s="2" t="inlineStr">
        <is>
          <t>Have a go at each task before you look. Answers assume all other inputs are at their starting values.</t>
        </is>
      </c>
    </row>
    <row r="4" ht="15" customHeight="1">
      <c r="A4" s="7" t="inlineStr">
        <is>
          <t>Tab</t>
        </is>
      </c>
      <c r="B4" s="7" t="inlineStr">
        <is>
          <t>Task</t>
        </is>
      </c>
      <c r="C4" s="7" t="inlineStr">
        <is>
          <t>Answer</t>
        </is>
      </c>
    </row>
    <row r="5" ht="15" customHeight="1">
      <c r="A5" s="18" t="inlineStr">
        <is>
          <t>1 Forward scan</t>
        </is>
      </c>
      <c r="B5" s="19" t="n">
        <v>1</v>
      </c>
      <c r="C5" s="9" t="inlineStr">
        <is>
          <t>13 days (it was 11). C is on the longest path, so every extra day on C delays the whole project.</t>
        </is>
      </c>
    </row>
    <row r="6" ht="30" customHeight="1">
      <c r="A6" s="18" t="inlineStr">
        <is>
          <t>1 Forward scan</t>
        </is>
      </c>
      <c r="B6" s="19" t="n">
        <v>2</v>
      </c>
      <c r="C6" s="9" t="inlineStr">
        <is>
          <t>12 days. B now finishes on day 7, which pushes back D, E and G. The path A – B – E – G – H – I takes 12 days, longer than A – C – F – H – I (11 days).</t>
        </is>
      </c>
    </row>
    <row r="7" ht="30" customHeight="1">
      <c r="A7" s="18" t="inlineStr">
        <is>
          <t>1 Forward scan</t>
        </is>
      </c>
      <c r="B7" s="19" t="n">
        <v>3</v>
      </c>
      <c r="C7" s="9" t="inlineStr">
        <is>
          <t>No – still 11 days. D now starts on day 6 (after C finishes) and finishes on day 9, which is still before H finishes on day 10, so the final briefing (I) can still start on day 10.</t>
        </is>
      </c>
    </row>
    <row r="8" ht="30" customHeight="1">
      <c r="A8" s="18" t="inlineStr">
        <is>
          <t>2 Backward scan</t>
        </is>
      </c>
      <c r="B8" s="19" t="n">
        <v>1</v>
      </c>
      <c r="C8" s="9" t="inlineStr">
        <is>
          <t>D (send invitations to families) has 2 days of float. It can start up to 2 days after its EST (any time from day 5 to day 7) without delaying the open day.</t>
        </is>
      </c>
    </row>
    <row r="9" ht="30" customHeight="1">
      <c r="A9" s="18" t="inlineStr">
        <is>
          <t>2 Backward scan</t>
        </is>
      </c>
      <c r="B9" s="19" t="n">
        <v>2</v>
      </c>
      <c r="C9" s="9" t="inlineStr">
        <is>
          <t>No, it stays at 11 days. E had 1 day of float, and the extra day uses it up. Floats are now B 0, D 2, E 0, G 0. There are now two critical paths: A – B – E – G – H – I and A – C – F – H – I.</t>
        </is>
      </c>
    </row>
    <row r="10" ht="30" customHeight="1">
      <c r="A10" s="18" t="inlineStr">
        <is>
          <t>2 Backward scan</t>
        </is>
      </c>
      <c r="B10" s="19" t="n">
        <v>3</v>
      </c>
      <c r="C10" s="9" t="inlineStr">
        <is>
          <t>The critical path is the longest path through the network, and its length IS the minimum completion time. Any delay to an activity on it makes that path – and so the whole project – longer, so there is no spare time.</t>
        </is>
      </c>
    </row>
    <row r="11" ht="15" customHeight="1">
      <c r="A11" s="18" t="inlineStr">
        <is>
          <t>3 Gantt chart</t>
        </is>
      </c>
      <c r="B11" s="19" t="n">
        <v>1</v>
      </c>
      <c r="C11" s="9" t="inlineStr">
        <is>
          <t>Day 7: its bar starts at 5 and its float box is 2 days long (5 + 2 = 7).</t>
        </is>
      </c>
    </row>
    <row r="12" ht="30" customHeight="1">
      <c r="A12" s="18" t="inlineStr">
        <is>
          <t>3 Gantt chart</t>
        </is>
      </c>
      <c r="B12" s="19" t="n">
        <v>2</v>
      </c>
      <c r="C12" s="9" t="inlineStr">
        <is>
          <t>F is critical, so the red bars for F, H and I all move 1 day to the right and the project now takes 12 days. The float boxes of the non-critical activities grow by 1 day.</t>
        </is>
      </c>
    </row>
    <row r="13" ht="15" customHeight="1">
      <c r="A13" s="18" t="inlineStr">
        <is>
          <t>3 Gantt chart</t>
        </is>
      </c>
      <c r="B13" s="19" t="n">
        <v>3</v>
      </c>
      <c r="C13" s="9" t="inlineStr">
        <is>
          <t>D, F and G: their bars cross the time 6 to 7 mark.</t>
        </is>
      </c>
    </row>
    <row r="14" ht="15" customHeight="1">
      <c r="A14" s="18" t="inlineStr">
        <is>
          <t>4 Changing durations</t>
        </is>
      </c>
      <c r="B14" s="19" t="n">
        <v>1</v>
      </c>
      <c r="C14" s="9" t="inlineStr">
        <is>
          <t>13 days. F is critical, so the 2-day delay delays the whole project by 2 days.</t>
        </is>
      </c>
    </row>
    <row r="15" ht="30" customHeight="1">
      <c r="A15" s="18" t="inlineStr">
        <is>
          <t>4 Changing durations</t>
        </is>
      </c>
      <c r="B15" s="19" t="n">
        <v>2</v>
      </c>
      <c r="C15" s="9" t="inlineStr">
        <is>
          <t>2 days: no change (11 days). D has 2 days of float, which absorbs the delay, and D becomes critical. 3 days: the project takes 12 days, because the delay is 1 day more than D’s float.</t>
        </is>
      </c>
    </row>
    <row r="16" ht="30" customHeight="1">
      <c r="A16" s="18" t="inlineStr">
        <is>
          <t>4 Changing durations</t>
        </is>
      </c>
      <c r="B16" s="19" t="n">
        <v>3</v>
      </c>
      <c r="C16" s="9" t="inlineStr">
        <is>
          <t>1 day less: 10 days, with critical activities A – B – C – E – F – G – H – I. 2 days less: still 10 days – after the first day, B – E – G is also critical, so shortening C alone cannot save any more time.</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2026-10-17T21:06:46Z</dcterms:created>
  <dcterms:modified xsi:type="dcterms:W3CDTF">2026-10-17T21:06:46Z</dcterms:modified>
</cp:coreProperties>
</file>