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sk 1 Festival" sheetId="2" state="visible" r:id="rId2"/>
    <sheet name="Task 2 Solar farm" sheetId="3" state="visible" r:id="rId3"/>
    <sheet name="Task 3 T-shirts" sheetId="4" state="visible" r:id="rId4"/>
    <sheet name="Task 4 Gy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C00000"/>
      <sz val="10"/>
    </font>
    <font>
      <name val="Arial"/>
      <b val="1"/>
      <color rgb="001F4E5F"/>
      <sz val="11"/>
    </font>
    <font>
      <name val="Arial"/>
      <sz val="10"/>
    </font>
    <font>
      <name val="Arial"/>
      <b val="1"/>
      <color rgb="001F4E5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D9E7EC"/>
      </patternFill>
    </fill>
  </fills>
  <borders count="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pivotButton="0" quotePrefix="0" xfId="0"/>
    <xf numFmtId="0" fontId="5" fillId="0" borderId="0" pivotButton="0" quotePrefix="0" xfId="0"/>
    <xf numFmtId="164" fontId="5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2" fontId="5" fillId="3" borderId="1" pivotButton="0" quotePrefix="0" xfId="0"/>
    <xf numFmtId="1" fontId="5" fillId="3" borderId="1" pivotButton="0" quotePrefix="0" xfId="0"/>
    <xf numFmtId="0" fontId="7" fillId="0" borderId="0" applyAlignment="1" pivotButton="0" quotePrefix="0" xfId="0">
      <alignment vertical="top" wrapText="1"/>
    </xf>
    <xf numFmtId="1" fontId="5" fillId="0" borderId="1" pivotButton="0" quotePrefix="0" xfId="0"/>
    <xf numFmtId="164" fontId="5" fillId="0" borderId="1" pivotButton="0" quotePrefix="0" xfId="0"/>
    <xf numFmtId="164" fontId="5" fillId="3" borderId="1" pivotButton="0" quotePrefix="0" xfId="0"/>
    <xf numFmtId="0" fontId="5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" fontId="5" fillId="4" borderId="1" pivotButton="0" quotePrefix="0" xfId="0"/>
    <xf numFmtId="0" fontId="5" fillId="0" borderId="1" pivotButton="0" quotePrefix="0" xfId="0"/>
    <xf numFmtId="2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Festival cost and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'Task 1 Festival'!B14</f>
            </strRef>
          </tx>
          <spPr>
            <a:ln w="22225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'Task 1 Festival'!$A$15:$A$25</f>
            </numRef>
          </cat>
          <val>
            <numRef>
              <f>'Task 1 Festival'!$B$15:$B$25</f>
            </numRef>
          </val>
          <smooth val="0"/>
        </ser>
        <ser>
          <idx val="1"/>
          <order val="1"/>
          <tx>
            <strRef>
              <f>'Task 1 Festival'!C14</f>
            </strRef>
          </tx>
          <spPr>
            <a:ln w="22225">
              <a:solidFill>
                <a:srgbClr val="BE4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'Task 1 Festival'!$A$15:$A$25</f>
            </numRef>
          </cat>
          <val>
            <numRef>
              <f>'Task 1 Festival'!$C$15:$C$25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People attending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Dollars</a:t>
                </a:r>
              </a:p>
            </rich>
          </tx>
        </title>
        <numFmt formatCode="\$#,##0" sourceLinked="0"/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Solar farm profit</a:t>
            </a:r>
          </a:p>
        </rich>
      </tx>
    </title>
    <plotArea>
      <lineChart>
        <grouping val="standard"/>
        <ser>
          <idx val="0"/>
          <order val="0"/>
          <tx>
            <strRef>
              <f>'Task 2 Solar farm'!D16</f>
            </strRef>
          </tx>
          <spPr>
            <a:ln w="22225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'Task 2 Solar farm'!$A$17:$A$27</f>
            </numRef>
          </cat>
          <val>
            <numRef>
              <f>'Task 2 Solar farm'!$D$17:$D$27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Output (MWh)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($)</a:t>
                </a:r>
              </a:p>
            </rich>
          </tx>
        </title>
        <numFmt formatCode="\$#,##0" sourceLinked="0"/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Shirts needed to break even</a:t>
            </a:r>
          </a:p>
        </rich>
      </tx>
    </title>
    <plotArea>
      <lineChart>
        <grouping val="standard"/>
        <ser>
          <idx val="0"/>
          <order val="0"/>
          <tx>
            <strRef>
              <f>'Task 3 T-shirts'!D10</f>
            </strRef>
          </tx>
          <spPr>
            <a:ln w="22225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'Task 3 T-shirts'!$A$11:$A$20</f>
            </numRef>
          </cat>
          <val>
            <numRef>
              <f>'Task 3 T-shirts'!$D$11:$D$20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Price per shirt ($)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Shirts per month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gym costs</a:t>
            </a:r>
          </a:p>
        </rich>
      </tx>
    </title>
    <plotArea>
      <lineChart>
        <grouping val="standard"/>
        <ser>
          <idx val="0"/>
          <order val="0"/>
          <tx>
            <strRef>
              <f>'Task 4 Gyms'!B15</f>
            </strRef>
          </tx>
          <spPr>
            <a:ln w="22225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'Task 4 Gyms'!$A$16:$A$29</f>
            </numRef>
          </cat>
          <val>
            <numRef>
              <f>'Task 4 Gyms'!$B$16:$B$29</f>
            </numRef>
          </val>
          <smooth val="0"/>
        </ser>
        <ser>
          <idx val="1"/>
          <order val="1"/>
          <tx>
            <strRef>
              <f>'Task 4 Gyms'!C15</f>
            </strRef>
          </tx>
          <spPr>
            <a:ln w="22225">
              <a:solidFill>
                <a:srgbClr val="BE4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'Task 4 Gyms'!$A$16:$A$29</f>
            </numRef>
          </cat>
          <val>
            <numRef>
              <f>'Task 4 Gyms'!$C$16:$C$29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Weeks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Total cost ($)</a:t>
                </a:r>
              </a:p>
            </rich>
          </tx>
        </title>
        <numFmt formatCode="\$#,##0" sourceLinked="0"/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 ht="31.5" customHeight="1">
      <c r="A1" s="1" t="inlineStr">
        <is>
          <t>Break-even and Simultaneous Equations – Spreadsheet Homework – SOLUTIONS</t>
        </is>
      </c>
    </row>
    <row r="2" ht="30" customHeight="1">
      <c r="A2" s="2" t="inlineStr">
        <is>
          <t>Four tasks. In each one you build the spreadsheet model yourself, then use it to answer the questions.</t>
        </is>
      </c>
    </row>
    <row r="4">
      <c r="A4" s="3" t="inlineStr">
        <is>
          <t>SOLUTIONS – green cells show a correct formula or answer. Your formulas may look different and still be correct.</t>
        </is>
      </c>
    </row>
    <row r="6">
      <c r="A6" s="4" t="inlineStr">
        <is>
          <t>Colour key</t>
        </is>
      </c>
    </row>
    <row r="7">
      <c r="A7" s="5" t="n"/>
      <c r="B7" s="6" t="inlineStr">
        <is>
          <t>Green = a worked solution.</t>
        </is>
      </c>
    </row>
    <row r="8">
      <c r="A8" s="7" t="n">
        <v>1000</v>
      </c>
      <c r="B8" s="6" t="inlineStr">
        <is>
          <t>Blue = given information. Only change it when a question tells you to, then change it back.</t>
        </is>
      </c>
    </row>
    <row r="11">
      <c r="A11" s="4" t="inlineStr">
        <is>
          <t>The tasks</t>
        </is>
      </c>
    </row>
    <row r="12" ht="15" customHeight="1">
      <c r="A12" s="8" t="inlineStr">
        <is>
          <t>Tab</t>
        </is>
      </c>
      <c r="B12" s="8" t="inlineStr">
        <is>
          <t>Context</t>
        </is>
      </c>
      <c r="C12" s="8" t="inlineStr">
        <is>
          <t>What you practise</t>
        </is>
      </c>
    </row>
    <row r="13">
      <c r="A13" s="6" t="inlineStr">
        <is>
          <t>Task 1 Festival</t>
        </is>
      </c>
      <c r="B13" s="6" t="inlineStr">
        <is>
          <t>A community cultural festival</t>
        </is>
      </c>
      <c r="C13" s="6" t="inlineStr">
        <is>
          <t>Cost, revenue and profit tables; break-even point; line chart</t>
        </is>
      </c>
    </row>
    <row r="14">
      <c r="A14" s="6" t="inlineStr">
        <is>
          <t>Task 2 Solar farm</t>
        </is>
      </c>
      <c r="B14" s="6" t="inlineStr">
        <is>
          <t>A community solar farm selling electricity</t>
        </is>
      </c>
      <c r="C14" s="6" t="inlineStr">
        <is>
          <t>Break-even analysis; profit and loss with IF; what-if questions</t>
        </is>
      </c>
    </row>
    <row r="15">
      <c r="A15" s="6" t="inlineStr">
        <is>
          <t>Task 3 T-shirts</t>
        </is>
      </c>
      <c r="B15" s="6" t="inlineStr">
        <is>
          <t>Pricing T-shirts for a printing business</t>
        </is>
      </c>
      <c r="C15" s="6" t="inlineStr">
        <is>
          <t>How price changes the break-even point; INDEX and MATCH</t>
        </is>
      </c>
    </row>
    <row r="16">
      <c r="A16" s="6" t="inlineStr">
        <is>
          <t>Task 4 Gyms</t>
        </is>
      </c>
      <c r="B16" s="6" t="inlineStr">
        <is>
          <t>Choosing between two gym memberships</t>
        </is>
      </c>
      <c r="C16" s="6" t="inlineStr">
        <is>
          <t>Solving simultaneous linear equations with a spreadsheet</t>
        </is>
      </c>
    </row>
    <row r="18">
      <c r="A18" s="4" t="inlineStr">
        <is>
          <t>Rules for a good spreadsheet model</t>
        </is>
      </c>
    </row>
    <row r="19">
      <c r="A19" s="6" t="inlineStr">
        <is>
          <t xml:space="preserve">   1.  Every yellow table cell must contain a formula starting with =, not a typed number.</t>
        </is>
      </c>
    </row>
    <row r="20">
      <c r="A20" s="6" t="inlineStr">
        <is>
          <t xml:space="preserve">   2.  Formulas must use cell references (such as $B$5) for the given values, so the model updates when a value changes.</t>
        </is>
      </c>
    </row>
    <row r="21">
      <c r="A21" s="6" t="inlineStr">
        <is>
          <t xml:space="preserve">   3.  Use $ signs to lock a reference before you fill a formula down or across.</t>
        </is>
      </c>
    </row>
    <row r="22">
      <c r="A22" s="6" t="inlineStr">
        <is>
          <t xml:space="preserve">   4.  Use the check figures on each tab to test your formulas before you answer the questions.</t>
        </is>
      </c>
    </row>
    <row r="23">
      <c r="A23" s="6" t="inlineStr">
        <is>
          <t xml:space="preserve">   5.  Every chart needs a title and axis titles, and a legend if it shows more than one series. Place charts to the right of the questions.</t>
        </is>
      </c>
    </row>
    <row r="24">
      <c r="A24" s="6" t="inlineStr">
        <is>
          <t xml:space="preserve">   6.  Written answers should include the numbers from your spreadsheet that support them.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1   A community cultural festival: break-even</t>
        </is>
      </c>
    </row>
    <row r="2" ht="30" customHeight="1">
      <c r="A2" s="2" t="inlineStr">
        <is>
          <t>A community group is running a one-day cultural festival. It pays for the venue, performers and sound system no matter how many people come, plus food and a wristband for every person who attends. Tickets cost $22.</t>
        </is>
      </c>
    </row>
    <row r="4">
      <c r="A4" s="4" t="inlineStr">
        <is>
          <t>Given information</t>
        </is>
      </c>
      <c r="G4" s="4" t="inlineStr">
        <is>
          <t>What to do</t>
        </is>
      </c>
    </row>
    <row r="5">
      <c r="A5" s="6" t="inlineStr">
        <is>
          <t>Fixed costs: venue, performers, sound ($)</t>
        </is>
      </c>
      <c r="B5" s="7" t="n">
        <v>9600</v>
      </c>
      <c r="G5" s="9" t="inlineStr">
        <is>
          <t>1. Row 0 is done for you. In B16, write a formula for the total cost when 100 people attend. Use the given cells with $ signs, not typed numbers.</t>
        </is>
      </c>
    </row>
    <row r="6">
      <c r="A6" s="6" t="inlineStr">
        <is>
          <t>Cost per person attending ($)</t>
        </is>
      </c>
      <c r="B6" s="7" t="n">
        <v>6.5</v>
      </c>
    </row>
    <row r="7">
      <c r="A7" s="6" t="inlineStr">
        <is>
          <t>Ticket price ($)</t>
        </is>
      </c>
      <c r="B7" s="7" t="n">
        <v>22</v>
      </c>
      <c r="G7" s="9" t="inlineStr">
        <is>
          <t>2. In C16, write a formula for the revenue, and in D16 the profit (revenue − cost).</t>
        </is>
      </c>
    </row>
    <row r="8"/>
    <row r="9">
      <c r="A9" s="4" t="inlineStr">
        <is>
          <t>Your calculations</t>
        </is>
      </c>
      <c r="G9" s="9" t="inlineStr">
        <is>
          <t>3. Fill all three formulas down to 1,000 people.</t>
        </is>
      </c>
    </row>
    <row r="10">
      <c r="A10" s="6" t="inlineStr">
        <is>
          <t>Break-even point (exact number of people)</t>
        </is>
      </c>
      <c r="B10" s="10">
        <f>$B$5/($B$7-$B$6)</f>
        <v/>
      </c>
      <c r="G10" s="9" t="inlineStr">
        <is>
          <t>4. In B10 and B11, use formulas to find the break-even point: first the exact value, then rounded up to a whole number of people.</t>
        </is>
      </c>
    </row>
    <row r="11">
      <c r="A11" s="6" t="inlineStr">
        <is>
          <t>People needed to break even</t>
        </is>
      </c>
      <c r="B11" s="11">
        <f>ROUNDUP(B10,0)</f>
        <v/>
      </c>
    </row>
    <row r="12">
      <c r="G12" s="12" t="inlineStr">
        <is>
          <t>Check: at 1,000 people the cost should be $16,100.00, the revenue $22,000.00 and the profit $5,900.00.</t>
        </is>
      </c>
    </row>
    <row r="13">
      <c r="A13" s="4" t="inlineStr">
        <is>
          <t>Your table</t>
        </is>
      </c>
    </row>
    <row r="14" ht="31.5" customHeight="1">
      <c r="A14" s="8" t="inlineStr">
        <is>
          <t>People attending</t>
        </is>
      </c>
      <c r="B14" s="8" t="inlineStr">
        <is>
          <t>Cost ($)</t>
        </is>
      </c>
      <c r="C14" s="8" t="inlineStr">
        <is>
          <t>Revenue ($)</t>
        </is>
      </c>
      <c r="D14" s="8" t="inlineStr">
        <is>
          <t>Profit ($)</t>
        </is>
      </c>
    </row>
    <row r="15">
      <c r="A15" s="13" t="n">
        <v>0</v>
      </c>
      <c r="B15" s="14">
        <f>$B$5+$B$6*A15</f>
        <v/>
      </c>
      <c r="C15" s="14">
        <f>$B$7*A15</f>
        <v/>
      </c>
      <c r="D15" s="14">
        <f>C15-B15</f>
        <v/>
      </c>
      <c r="G15" s="4" t="inlineStr">
        <is>
          <t>Questions – worked answers</t>
        </is>
      </c>
    </row>
    <row r="16">
      <c r="A16" s="13" t="n">
        <v>100</v>
      </c>
      <c r="B16" s="15">
        <f>$B$5+$B$6*A16</f>
        <v/>
      </c>
      <c r="C16" s="15">
        <f>$B$7*A16</f>
        <v/>
      </c>
      <c r="D16" s="15">
        <f>C16-B16</f>
        <v/>
      </c>
      <c r="G16" s="12" t="inlineStr">
        <is>
          <t>Q1.  How many people must attend for the festival to break even? Why do you round up, not to the nearest whole number?</t>
        </is>
      </c>
    </row>
    <row r="17">
      <c r="A17" s="13" t="n">
        <v>200</v>
      </c>
      <c r="B17" s="15">
        <f>$B$5+$B$6*A17</f>
        <v/>
      </c>
      <c r="C17" s="15">
        <f>$B$7*A17</f>
        <v/>
      </c>
      <c r="D17" s="15">
        <f>C17-B17</f>
        <v/>
      </c>
    </row>
    <row r="18">
      <c r="A18" s="13" t="n">
        <v>300</v>
      </c>
      <c r="B18" s="15">
        <f>$B$5+$B$6*A18</f>
        <v/>
      </c>
      <c r="C18" s="15">
        <f>$B$7*A18</f>
        <v/>
      </c>
      <c r="D18" s="15">
        <f>C18-B18</f>
        <v/>
      </c>
      <c r="G18" s="16" t="inlineStr">
        <is>
          <t>619.35 people exactly, so 620 people. With 619 people the festival would still make a small loss of $5.50, so you must round up.</t>
        </is>
      </c>
      <c r="H18" s="17" t="n"/>
      <c r="I18" s="17" t="n"/>
      <c r="J18" s="17" t="n"/>
      <c r="K18" s="17" t="n"/>
      <c r="L18" s="17" t="n"/>
      <c r="M18" s="17" t="n"/>
      <c r="N18" s="18" t="n"/>
    </row>
    <row r="19">
      <c r="A19" s="13" t="n">
        <v>400</v>
      </c>
      <c r="B19" s="15">
        <f>$B$5+$B$6*A19</f>
        <v/>
      </c>
      <c r="C19" s="15">
        <f>$B$7*A19</f>
        <v/>
      </c>
      <c r="D19" s="15">
        <f>C19-B19</f>
        <v/>
      </c>
      <c r="G19" s="19" t="n"/>
      <c r="N19" s="20" t="n"/>
    </row>
    <row r="20">
      <c r="A20" s="13" t="n">
        <v>500</v>
      </c>
      <c r="B20" s="15">
        <f>$B$5+$B$6*A20</f>
        <v/>
      </c>
      <c r="C20" s="15">
        <f>$B$7*A20</f>
        <v/>
      </c>
      <c r="D20" s="15">
        <f>C20-B20</f>
        <v/>
      </c>
      <c r="G20" s="21" t="n"/>
      <c r="H20" s="22" t="n"/>
      <c r="I20" s="22" t="n"/>
      <c r="J20" s="22" t="n"/>
      <c r="K20" s="22" t="n"/>
      <c r="L20" s="22" t="n"/>
      <c r="M20" s="22" t="n"/>
      <c r="N20" s="23" t="n"/>
    </row>
    <row r="21">
      <c r="A21" s="13" t="n">
        <v>600</v>
      </c>
      <c r="B21" s="15">
        <f>$B$5+$B$6*A21</f>
        <v/>
      </c>
      <c r="C21" s="15">
        <f>$B$7*A21</f>
        <v/>
      </c>
      <c r="D21" s="15">
        <f>C21-B21</f>
        <v/>
      </c>
    </row>
    <row r="22">
      <c r="A22" s="13" t="n">
        <v>700</v>
      </c>
      <c r="B22" s="15">
        <f>$B$5+$B$6*A22</f>
        <v/>
      </c>
      <c r="C22" s="15">
        <f>$B$7*A22</f>
        <v/>
      </c>
      <c r="D22" s="15">
        <f>C22-B22</f>
        <v/>
      </c>
      <c r="G22" s="12" t="inlineStr">
        <is>
          <t>Q2.  What is the profit or loss if 450 people attend?</t>
        </is>
      </c>
    </row>
    <row r="23">
      <c r="A23" s="13" t="n">
        <v>800</v>
      </c>
      <c r="B23" s="15">
        <f>$B$5+$B$6*A23</f>
        <v/>
      </c>
      <c r="C23" s="15">
        <f>$B$7*A23</f>
        <v/>
      </c>
      <c r="D23" s="15">
        <f>C23-B23</f>
        <v/>
      </c>
      <c r="G23" s="16" t="inlineStr">
        <is>
          <t>A loss of $2,625.00. Revenue $9,900.00 − cost $12,525.00.</t>
        </is>
      </c>
      <c r="H23" s="17" t="n"/>
      <c r="I23" s="17" t="n"/>
      <c r="J23" s="17" t="n"/>
      <c r="K23" s="17" t="n"/>
      <c r="L23" s="17" t="n"/>
      <c r="M23" s="17" t="n"/>
      <c r="N23" s="18" t="n"/>
    </row>
    <row r="24">
      <c r="A24" s="13" t="n">
        <v>900</v>
      </c>
      <c r="B24" s="15">
        <f>$B$5+$B$6*A24</f>
        <v/>
      </c>
      <c r="C24" s="15">
        <f>$B$7*A24</f>
        <v/>
      </c>
      <c r="D24" s="15">
        <f>C24-B24</f>
        <v/>
      </c>
      <c r="G24" s="19" t="n"/>
      <c r="N24" s="20" t="n"/>
    </row>
    <row r="25">
      <c r="A25" s="13" t="n">
        <v>1000</v>
      </c>
      <c r="B25" s="15">
        <f>$B$5+$B$6*A25</f>
        <v/>
      </c>
      <c r="C25" s="15">
        <f>$B$7*A25</f>
        <v/>
      </c>
      <c r="D25" s="15">
        <f>C25-B25</f>
        <v/>
      </c>
      <c r="G25" s="21" t="n"/>
      <c r="H25" s="22" t="n"/>
      <c r="I25" s="22" t="n"/>
      <c r="J25" s="22" t="n"/>
      <c r="K25" s="22" t="n"/>
      <c r="L25" s="22" t="n"/>
      <c r="M25" s="22" t="n"/>
      <c r="N25" s="23" t="n"/>
    </row>
    <row r="27">
      <c r="G27" s="12" t="inlineStr">
        <is>
          <t>Q3.  Insert a line chart showing cost and revenue against the number of people. Describe where the break-even point is on your chart.</t>
        </is>
      </c>
    </row>
    <row r="28"/>
    <row r="29">
      <c r="G29" s="16" t="inlineStr">
        <is>
          <t>The lines cross at about 620 people, where cost = revenue ≈ $13,625.81. To the left, cost is above revenue (a loss); to the right, revenue is above cost (a profit).</t>
        </is>
      </c>
      <c r="H29" s="17" t="n"/>
      <c r="I29" s="17" t="n"/>
      <c r="J29" s="17" t="n"/>
      <c r="K29" s="17" t="n"/>
      <c r="L29" s="17" t="n"/>
      <c r="M29" s="17" t="n"/>
      <c r="N29" s="18" t="n"/>
    </row>
    <row r="30">
      <c r="G30" s="19" t="n"/>
      <c r="N30" s="20" t="n"/>
    </row>
    <row r="31">
      <c r="G31" s="21" t="n"/>
      <c r="H31" s="22" t="n"/>
      <c r="I31" s="22" t="n"/>
      <c r="J31" s="22" t="n"/>
      <c r="K31" s="22" t="n"/>
      <c r="L31" s="22" t="n"/>
      <c r="M31" s="22" t="n"/>
      <c r="N31" s="23" t="n"/>
    </row>
    <row r="33">
      <c r="G33" s="12" t="inlineStr">
        <is>
          <t>Q4.  The organisers expect 800 people and want a profit of at least $5,000. Will they get it? What ticket price would they need?</t>
        </is>
      </c>
    </row>
    <row r="34"/>
    <row r="35">
      <c r="G35" s="16" t="inlineStr">
        <is>
          <t>No. With 800 people the profit is only $2,800.00. They need (9600 + 5000) ÷ 800 + 6.50 = $24.75 per ticket.</t>
        </is>
      </c>
      <c r="H35" s="17" t="n"/>
      <c r="I35" s="17" t="n"/>
      <c r="J35" s="17" t="n"/>
      <c r="K35" s="17" t="n"/>
      <c r="L35" s="17" t="n"/>
      <c r="M35" s="17" t="n"/>
      <c r="N35" s="18" t="n"/>
    </row>
    <row r="36">
      <c r="G36" s="19" t="n"/>
      <c r="N36" s="20" t="n"/>
    </row>
    <row r="37">
      <c r="G37" s="21" t="n"/>
      <c r="H37" s="22" t="n"/>
      <c r="I37" s="22" t="n"/>
      <c r="J37" s="22" t="n"/>
      <c r="K37" s="22" t="n"/>
      <c r="L37" s="22" t="n"/>
      <c r="M37" s="22" t="n"/>
      <c r="N37" s="23" t="n"/>
    </row>
  </sheetData>
  <mergeCells count="15">
    <mergeCell ref="G27:N28"/>
    <mergeCell ref="G33:N34"/>
    <mergeCell ref="G35:N37"/>
    <mergeCell ref="G12:N13"/>
    <mergeCell ref="G7:N8"/>
    <mergeCell ref="A2:N2"/>
    <mergeCell ref="G29:N31"/>
    <mergeCell ref="G22:N22"/>
    <mergeCell ref="G16:N17"/>
    <mergeCell ref="G23:N25"/>
    <mergeCell ref="G10:N11"/>
    <mergeCell ref="G18:N20"/>
    <mergeCell ref="G9:N9"/>
    <mergeCell ref="G5:N6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2   A community solar farm</t>
        </is>
      </c>
    </row>
    <row r="2" ht="30" customHeight="1">
      <c r="A2" s="2" t="inlineStr">
        <is>
          <t>A town has built a community solar farm. Each year it pays fixed costs (loan repayments, insurance and a maintenance contract) plus a running cost for every megawatt-hour (MWh) it generates. It sells the electricity to the grid.</t>
        </is>
      </c>
    </row>
    <row r="4">
      <c r="A4" s="4" t="inlineStr">
        <is>
          <t>Given information</t>
        </is>
      </c>
      <c r="G4" s="4" t="inlineStr">
        <is>
          <t>What to do</t>
        </is>
      </c>
    </row>
    <row r="5">
      <c r="A5" s="6" t="inlineStr">
        <is>
          <t>Fixed costs per year ($)</t>
        </is>
      </c>
      <c r="B5" s="7" t="n">
        <v>84000</v>
      </c>
      <c r="G5" s="9" t="inlineStr">
        <is>
          <t>1. Row 0 is done for you. Write formulas for cost, revenue and profit in row 18, then fill them down to 2,000 MWh.</t>
        </is>
      </c>
    </row>
    <row r="6">
      <c r="A6" s="6" t="inlineStr">
        <is>
          <t>Running cost per MWh ($)</t>
        </is>
      </c>
      <c r="B6" s="7" t="n">
        <v>18</v>
      </c>
    </row>
    <row r="7">
      <c r="A7" s="6" t="inlineStr">
        <is>
          <t>Selling price per MWh ($)</t>
        </is>
      </c>
      <c r="B7" s="7" t="n">
        <v>95</v>
      </c>
      <c r="G7" s="9" t="inlineStr">
        <is>
          <t>2. In E18, use IF to show "Profit", "Break even" or "Loss". Look at row 0 to see how. Fill it down.</t>
        </is>
      </c>
    </row>
    <row r="8">
      <c r="A8" s="6" t="inlineStr">
        <is>
          <t>Expected output this year (MWh)</t>
        </is>
      </c>
      <c r="B8" s="24" t="n">
        <v>1650</v>
      </c>
    </row>
    <row r="9">
      <c r="G9" s="9" t="inlineStr">
        <is>
          <t>3. In B11 to B13, use formulas to find the break-even point (exact, then rounded up) and the profit at the expected output.</t>
        </is>
      </c>
    </row>
    <row r="10">
      <c r="A10" s="4" t="inlineStr">
        <is>
          <t>Your calculations</t>
        </is>
      </c>
    </row>
    <row r="11">
      <c r="A11" s="6" t="inlineStr">
        <is>
          <t>Break-even point (exact MWh)</t>
        </is>
      </c>
      <c r="B11" s="10">
        <f>$B$5/($B$7-$B$6)</f>
        <v/>
      </c>
      <c r="G11" s="12" t="inlineStr">
        <is>
          <t>Check: at 2,000 MWh the cost should be $120,000.00, the revenue $190,000.00 and the profit $70,000.00.</t>
        </is>
      </c>
    </row>
    <row r="12">
      <c r="A12" s="6" t="inlineStr">
        <is>
          <t>MWh needed to break even</t>
        </is>
      </c>
      <c r="B12" s="11">
        <f>ROUNDUP(B11,0)</f>
        <v/>
      </c>
    </row>
    <row r="13">
      <c r="A13" s="6" t="inlineStr">
        <is>
          <t>Profit at the expected output ($)</t>
        </is>
      </c>
      <c r="B13" s="15">
        <f>($B$7-$B$6)*$B$8-$B$5</f>
        <v/>
      </c>
    </row>
    <row r="14">
      <c r="G14" s="4" t="inlineStr">
        <is>
          <t>Questions – worked answers</t>
        </is>
      </c>
    </row>
    <row r="15">
      <c r="A15" s="4" t="inlineStr">
        <is>
          <t>Your table</t>
        </is>
      </c>
      <c r="G15" s="12" t="inlineStr">
        <is>
          <t>Q1.  How many MWh must the farm generate each year to break even?</t>
        </is>
      </c>
    </row>
    <row r="16" ht="31.5" customHeight="1">
      <c r="A16" s="8" t="inlineStr">
        <is>
          <t>Output (MWh)</t>
        </is>
      </c>
      <c r="B16" s="8" t="inlineStr">
        <is>
          <t>Cost ($)</t>
        </is>
      </c>
      <c r="C16" s="8" t="inlineStr">
        <is>
          <t>Revenue ($)</t>
        </is>
      </c>
      <c r="D16" s="8" t="inlineStr">
        <is>
          <t>Profit ($)</t>
        </is>
      </c>
      <c r="E16" s="8" t="inlineStr">
        <is>
          <t>Profit or loss?</t>
        </is>
      </c>
      <c r="G16" s="16" t="inlineStr">
        <is>
          <t>84000 ÷ (95 − 18) = 1090.91, so 1,091 MWh.</t>
        </is>
      </c>
      <c r="H16" s="17" t="n"/>
      <c r="I16" s="17" t="n"/>
      <c r="J16" s="17" t="n"/>
      <c r="K16" s="17" t="n"/>
      <c r="L16" s="17" t="n"/>
      <c r="M16" s="17" t="n"/>
      <c r="N16" s="18" t="n"/>
    </row>
    <row r="17">
      <c r="A17" s="13" t="n">
        <v>0</v>
      </c>
      <c r="B17" s="14">
        <f>$B$5+$B$6*A17</f>
        <v/>
      </c>
      <c r="C17" s="14">
        <f>$B$7*A17</f>
        <v/>
      </c>
      <c r="D17" s="14">
        <f>C17-B17</f>
        <v/>
      </c>
      <c r="E17" s="25">
        <f>IF(D17&gt;0,"Profit",IF(D17=0,"Break even","Loss"))</f>
        <v/>
      </c>
      <c r="G17" s="19" t="n"/>
      <c r="N17" s="20" t="n"/>
    </row>
    <row r="18">
      <c r="A18" s="13" t="n">
        <v>200</v>
      </c>
      <c r="B18" s="15">
        <f>$B$5+$B$6*A18</f>
        <v/>
      </c>
      <c r="C18" s="15">
        <f>$B$7*A18</f>
        <v/>
      </c>
      <c r="D18" s="15">
        <f>C18-B18</f>
        <v/>
      </c>
      <c r="E18" s="5">
        <f>IF(D18&gt;0,"Profit",IF(D18=0,"Break even","Loss"))</f>
        <v/>
      </c>
      <c r="G18" s="21" t="n"/>
      <c r="H18" s="22" t="n"/>
      <c r="I18" s="22" t="n"/>
      <c r="J18" s="22" t="n"/>
      <c r="K18" s="22" t="n"/>
      <c r="L18" s="22" t="n"/>
      <c r="M18" s="22" t="n"/>
      <c r="N18" s="23" t="n"/>
    </row>
    <row r="19">
      <c r="A19" s="13" t="n">
        <v>400</v>
      </c>
      <c r="B19" s="15">
        <f>$B$5+$B$6*A19</f>
        <v/>
      </c>
      <c r="C19" s="15">
        <f>$B$7*A19</f>
        <v/>
      </c>
      <c r="D19" s="15">
        <f>C19-B19</f>
        <v/>
      </c>
      <c r="E19" s="5">
        <f>IF(D19&gt;0,"Profit",IF(D19=0,"Break even","Loss"))</f>
        <v/>
      </c>
    </row>
    <row r="20">
      <c r="A20" s="13" t="n">
        <v>600</v>
      </c>
      <c r="B20" s="15">
        <f>$B$5+$B$6*A20</f>
        <v/>
      </c>
      <c r="C20" s="15">
        <f>$B$7*A20</f>
        <v/>
      </c>
      <c r="D20" s="15">
        <f>C20-B20</f>
        <v/>
      </c>
      <c r="E20" s="5">
        <f>IF(D20&gt;0,"Profit",IF(D20=0,"Break even","Loss"))</f>
        <v/>
      </c>
      <c r="G20" s="12" t="inlineStr">
        <is>
          <t>Q2.  What profit does the farm make at its expected output of 1,650 MWh?</t>
        </is>
      </c>
    </row>
    <row r="21">
      <c r="A21" s="13" t="n">
        <v>800</v>
      </c>
      <c r="B21" s="15">
        <f>$B$5+$B$6*A21</f>
        <v/>
      </c>
      <c r="C21" s="15">
        <f>$B$7*A21</f>
        <v/>
      </c>
      <c r="D21" s="15">
        <f>C21-B21</f>
        <v/>
      </c>
      <c r="E21" s="5">
        <f>IF(D21&gt;0,"Profit",IF(D21=0,"Break even","Loss"))</f>
        <v/>
      </c>
      <c r="G21" s="16" t="inlineStr">
        <is>
          <t>$43,050.00 (revenue $156,750.00 − cost $113,700.00).</t>
        </is>
      </c>
      <c r="H21" s="17" t="n"/>
      <c r="I21" s="17" t="n"/>
      <c r="J21" s="17" t="n"/>
      <c r="K21" s="17" t="n"/>
      <c r="L21" s="17" t="n"/>
      <c r="M21" s="17" t="n"/>
      <c r="N21" s="18" t="n"/>
    </row>
    <row r="22">
      <c r="A22" s="13" t="n">
        <v>1000</v>
      </c>
      <c r="B22" s="15">
        <f>$B$5+$B$6*A22</f>
        <v/>
      </c>
      <c r="C22" s="15">
        <f>$B$7*A22</f>
        <v/>
      </c>
      <c r="D22" s="15">
        <f>C22-B22</f>
        <v/>
      </c>
      <c r="E22" s="5">
        <f>IF(D22&gt;0,"Profit",IF(D22=0,"Break even","Loss"))</f>
        <v/>
      </c>
      <c r="G22" s="19" t="n"/>
      <c r="N22" s="20" t="n"/>
    </row>
    <row r="23">
      <c r="A23" s="13" t="n">
        <v>1200</v>
      </c>
      <c r="B23" s="15">
        <f>$B$5+$B$6*A23</f>
        <v/>
      </c>
      <c r="C23" s="15">
        <f>$B$7*A23</f>
        <v/>
      </c>
      <c r="D23" s="15">
        <f>C23-B23</f>
        <v/>
      </c>
      <c r="E23" s="5">
        <f>IF(D23&gt;0,"Profit",IF(D23=0,"Break even","Loss"))</f>
        <v/>
      </c>
      <c r="G23" s="21" t="n"/>
      <c r="H23" s="22" t="n"/>
      <c r="I23" s="22" t="n"/>
      <c r="J23" s="22" t="n"/>
      <c r="K23" s="22" t="n"/>
      <c r="L23" s="22" t="n"/>
      <c r="M23" s="22" t="n"/>
      <c r="N23" s="23" t="n"/>
    </row>
    <row r="24">
      <c r="A24" s="13" t="n">
        <v>1400</v>
      </c>
      <c r="B24" s="15">
        <f>$B$5+$B$6*A24</f>
        <v/>
      </c>
      <c r="C24" s="15">
        <f>$B$7*A24</f>
        <v/>
      </c>
      <c r="D24" s="15">
        <f>C24-B24</f>
        <v/>
      </c>
      <c r="E24" s="5">
        <f>IF(D24&gt;0,"Profit",IF(D24=0,"Break even","Loss"))</f>
        <v/>
      </c>
    </row>
    <row r="25">
      <c r="A25" s="13" t="n">
        <v>1600</v>
      </c>
      <c r="B25" s="15">
        <f>$B$5+$B$6*A25</f>
        <v/>
      </c>
      <c r="C25" s="15">
        <f>$B$7*A25</f>
        <v/>
      </c>
      <c r="D25" s="15">
        <f>C25-B25</f>
        <v/>
      </c>
      <c r="E25" s="5">
        <f>IF(D25&gt;0,"Profit",IF(D25=0,"Break even","Loss"))</f>
        <v/>
      </c>
      <c r="G25" s="12" t="inlineStr">
        <is>
          <t>Q3.  Electricity prices fall to $70 per MWh. Change B7 (then change it back). What is the new break-even point? Does the farm still make a profit at 1,650 MWh?</t>
        </is>
      </c>
    </row>
    <row r="26">
      <c r="A26" s="13" t="n">
        <v>1800</v>
      </c>
      <c r="B26" s="15">
        <f>$B$5+$B$6*A26</f>
        <v/>
      </c>
      <c r="C26" s="15">
        <f>$B$7*A26</f>
        <v/>
      </c>
      <c r="D26" s="15">
        <f>C26-B26</f>
        <v/>
      </c>
      <c r="E26" s="5">
        <f>IF(D26&gt;0,"Profit",IF(D26=0,"Break even","Loss"))</f>
        <v/>
      </c>
    </row>
    <row r="27">
      <c r="A27" s="13" t="n">
        <v>2000</v>
      </c>
      <c r="B27" s="15">
        <f>$B$5+$B$6*A27</f>
        <v/>
      </c>
      <c r="C27" s="15">
        <f>$B$7*A27</f>
        <v/>
      </c>
      <c r="D27" s="15">
        <f>C27-B27</f>
        <v/>
      </c>
      <c r="E27" s="5">
        <f>IF(D27&gt;0,"Profit",IF(D27=0,"Break even","Loss"))</f>
        <v/>
      </c>
      <c r="G27" s="16" t="inlineStr">
        <is>
          <t>84000 ÷ (70 − 18) = 1615.38, so 1,616 MWh. Yes, but only just: the profit at 1,650 MWh falls to $1,800.00.</t>
        </is>
      </c>
      <c r="H27" s="17" t="n"/>
      <c r="I27" s="17" t="n"/>
      <c r="J27" s="17" t="n"/>
      <c r="K27" s="17" t="n"/>
      <c r="L27" s="17" t="n"/>
      <c r="M27" s="17" t="n"/>
      <c r="N27" s="18" t="n"/>
    </row>
    <row r="28">
      <c r="G28" s="19" t="n"/>
      <c r="N28" s="20" t="n"/>
    </row>
    <row r="29">
      <c r="G29" s="21" t="n"/>
      <c r="H29" s="22" t="n"/>
      <c r="I29" s="22" t="n"/>
      <c r="J29" s="22" t="n"/>
      <c r="K29" s="22" t="n"/>
      <c r="L29" s="22" t="n"/>
      <c r="M29" s="22" t="n"/>
      <c r="N29" s="23" t="n"/>
    </row>
    <row r="31">
      <c r="G31" s="12" t="inlineStr">
        <is>
          <t>Q4.  Insert a line chart of profit against output. Where does the line cross the horizontal axis, and what does that point mean?</t>
        </is>
      </c>
    </row>
    <row r="32"/>
    <row r="33">
      <c r="G33" s="16" t="inlineStr">
        <is>
          <t>It crosses at about 1,091 MWh. That is the break-even point: below it the farm makes a loss, above it a profit. The line starts at −$84,000 (the fixed costs).</t>
        </is>
      </c>
      <c r="H33" s="17" t="n"/>
      <c r="I33" s="17" t="n"/>
      <c r="J33" s="17" t="n"/>
      <c r="K33" s="17" t="n"/>
      <c r="L33" s="17" t="n"/>
      <c r="M33" s="17" t="n"/>
      <c r="N33" s="18" t="n"/>
    </row>
    <row r="34">
      <c r="G34" s="19" t="n"/>
      <c r="N34" s="20" t="n"/>
    </row>
    <row r="35">
      <c r="G35" s="21" t="n"/>
      <c r="H35" s="22" t="n"/>
      <c r="I35" s="22" t="n"/>
      <c r="J35" s="22" t="n"/>
      <c r="K35" s="22" t="n"/>
      <c r="L35" s="22" t="n"/>
      <c r="M35" s="22" t="n"/>
      <c r="N35" s="23" t="n"/>
    </row>
  </sheetData>
  <mergeCells count="14">
    <mergeCell ref="G21:N23"/>
    <mergeCell ref="G20:N20"/>
    <mergeCell ref="G16:N18"/>
    <mergeCell ref="G7:N8"/>
    <mergeCell ref="A2:N2"/>
    <mergeCell ref="G15:N15"/>
    <mergeCell ref="G31:N32"/>
    <mergeCell ref="G11:N12"/>
    <mergeCell ref="G25:N26"/>
    <mergeCell ref="G33:N35"/>
    <mergeCell ref="G27:N29"/>
    <mergeCell ref="G5:N6"/>
    <mergeCell ref="G9:N10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3   Pricing T-shirts</t>
        </is>
      </c>
    </row>
    <row r="2" ht="30" customHeight="1">
      <c r="A2" s="2" t="inlineStr">
        <is>
          <t>A small business prints custom T-shirts. Each month it pays fixed costs (rent and screen set-up) plus the cost of each blank shirt and ink. It can print at most 300 shirts a month. What price should it charge?</t>
        </is>
      </c>
    </row>
    <row r="4">
      <c r="A4" s="4" t="inlineStr">
        <is>
          <t>Given information</t>
        </is>
      </c>
      <c r="G4" s="4" t="inlineStr">
        <is>
          <t>What to do</t>
        </is>
      </c>
    </row>
    <row r="5">
      <c r="A5" s="6" t="inlineStr">
        <is>
          <t>Fixed costs per month ($)</t>
        </is>
      </c>
      <c r="B5" s="7" t="n">
        <v>2400</v>
      </c>
      <c r="G5" s="9" t="inlineStr">
        <is>
          <t>1. The first row ($12) is done for you. Fill its formulas down to $30.</t>
        </is>
      </c>
    </row>
    <row r="6">
      <c r="A6" s="6" t="inlineStr">
        <is>
          <t>Cost per shirt ($)</t>
        </is>
      </c>
      <c r="B6" s="7" t="n">
        <v>9.5</v>
      </c>
      <c r="G6" s="9" t="inlineStr">
        <is>
          <t>2. Read the formula in E11. It compares the shirts needed with the limit in B7.</t>
        </is>
      </c>
    </row>
    <row r="7">
      <c r="A7" s="6" t="inlineStr">
        <is>
          <t>Most shirts it can print per month</t>
        </is>
      </c>
      <c r="B7" s="24" t="n">
        <v>300</v>
      </c>
      <c r="G7" s="9" t="inlineStr">
        <is>
          <t>3. In B23, use INDEX and MATCH to find the lowest price in the table that shows "Yes". Hint: =INDEX(A11:A20,MATCH("Yes",E11:E20,0))</t>
        </is>
      </c>
    </row>
    <row r="8"/>
    <row r="9">
      <c r="A9" s="4" t="inlineStr">
        <is>
          <t>Your table</t>
        </is>
      </c>
      <c r="G9" s="12" t="inlineStr">
        <is>
          <t>Check: at $30 per shirt the business needs 118 shirts to break even.</t>
        </is>
      </c>
    </row>
    <row r="10" ht="31.5" customHeight="1">
      <c r="A10" s="8" t="inlineStr">
        <is>
          <t>Price per shirt ($)</t>
        </is>
      </c>
      <c r="B10" s="8" t="inlineStr">
        <is>
          <t>Profit per shirt ($)</t>
        </is>
      </c>
      <c r="C10" s="8" t="inlineStr">
        <is>
          <t>Break-even point (exact shirts)</t>
        </is>
      </c>
      <c r="D10" s="8" t="inlineStr">
        <is>
          <t>Shirts to break even</t>
        </is>
      </c>
      <c r="E10" s="8" t="inlineStr">
        <is>
          <t>Possible within the limit?</t>
        </is>
      </c>
    </row>
    <row r="11">
      <c r="A11" s="14" t="n">
        <v>12</v>
      </c>
      <c r="B11" s="14">
        <f>A11-$B$6</f>
        <v/>
      </c>
      <c r="C11" s="26">
        <f>$B$5/B11</f>
        <v/>
      </c>
      <c r="D11" s="13">
        <f>ROUNDUP(C11,0)</f>
        <v/>
      </c>
      <c r="E11" s="25">
        <f>IF(D11&lt;=$B$7,"Yes","No")</f>
        <v/>
      </c>
      <c r="G11" s="4" t="inlineStr">
        <is>
          <t>Questions – worked answers</t>
        </is>
      </c>
    </row>
    <row r="12">
      <c r="A12" s="14" t="n">
        <v>14</v>
      </c>
      <c r="B12" s="15">
        <f>A12-$B$6</f>
        <v/>
      </c>
      <c r="C12" s="10">
        <f>$B$5/B12</f>
        <v/>
      </c>
      <c r="D12" s="11">
        <f>ROUNDUP(C12,0)</f>
        <v/>
      </c>
      <c r="E12" s="5">
        <f>IF(D12&lt;=$B$7,"Yes","No")</f>
        <v/>
      </c>
      <c r="G12" s="12" t="inlineStr">
        <is>
          <t>Q1.  What is the lowest price in the table that lets the business break even within its limit of 300 shirts?</t>
        </is>
      </c>
    </row>
    <row r="13">
      <c r="A13" s="14" t="n">
        <v>16</v>
      </c>
      <c r="B13" s="15">
        <f>A13-$B$6</f>
        <v/>
      </c>
      <c r="C13" s="10">
        <f>$B$5/B13</f>
        <v/>
      </c>
      <c r="D13" s="11">
        <f>ROUNDUP(C13,0)</f>
        <v/>
      </c>
      <c r="E13" s="5">
        <f>IF(D13&lt;=$B$7,"Yes","No")</f>
        <v/>
      </c>
    </row>
    <row r="14">
      <c r="A14" s="14" t="n">
        <v>18</v>
      </c>
      <c r="B14" s="15">
        <f>A14-$B$6</f>
        <v/>
      </c>
      <c r="C14" s="10">
        <f>$B$5/B14</f>
        <v/>
      </c>
      <c r="D14" s="11">
        <f>ROUNDUP(C14,0)</f>
        <v/>
      </c>
      <c r="E14" s="5">
        <f>IF(D14&lt;=$B$7,"Yes","No")</f>
        <v/>
      </c>
      <c r="G14" s="16" t="inlineStr">
        <is>
          <t>$18.00, which needs 283 shirts. At $16.00 it would need 370, which is over the limit.</t>
        </is>
      </c>
      <c r="H14" s="17" t="n"/>
      <c r="I14" s="17" t="n"/>
      <c r="J14" s="17" t="n"/>
      <c r="K14" s="17" t="n"/>
      <c r="L14" s="17" t="n"/>
      <c r="M14" s="17" t="n"/>
      <c r="N14" s="18" t="n"/>
    </row>
    <row r="15">
      <c r="A15" s="14" t="n">
        <v>20</v>
      </c>
      <c r="B15" s="15">
        <f>A15-$B$6</f>
        <v/>
      </c>
      <c r="C15" s="10">
        <f>$B$5/B15</f>
        <v/>
      </c>
      <c r="D15" s="11">
        <f>ROUNDUP(C15,0)</f>
        <v/>
      </c>
      <c r="E15" s="5">
        <f>IF(D15&lt;=$B$7,"Yes","No")</f>
        <v/>
      </c>
      <c r="G15" s="19" t="n"/>
      <c r="N15" s="20" t="n"/>
    </row>
    <row r="16">
      <c r="A16" s="14" t="n">
        <v>22</v>
      </c>
      <c r="B16" s="15">
        <f>A16-$B$6</f>
        <v/>
      </c>
      <c r="C16" s="10">
        <f>$B$5/B16</f>
        <v/>
      </c>
      <c r="D16" s="11">
        <f>ROUNDUP(C16,0)</f>
        <v/>
      </c>
      <c r="E16" s="5">
        <f>IF(D16&lt;=$B$7,"Yes","No")</f>
        <v/>
      </c>
      <c r="G16" s="21" t="n"/>
      <c r="H16" s="22" t="n"/>
      <c r="I16" s="22" t="n"/>
      <c r="J16" s="22" t="n"/>
      <c r="K16" s="22" t="n"/>
      <c r="L16" s="22" t="n"/>
      <c r="M16" s="22" t="n"/>
      <c r="N16" s="23" t="n"/>
    </row>
    <row r="17">
      <c r="A17" s="14" t="n">
        <v>24</v>
      </c>
      <c r="B17" s="15">
        <f>A17-$B$6</f>
        <v/>
      </c>
      <c r="C17" s="10">
        <f>$B$5/B17</f>
        <v/>
      </c>
      <c r="D17" s="11">
        <f>ROUNDUP(C17,0)</f>
        <v/>
      </c>
      <c r="E17" s="5">
        <f>IF(D17&lt;=$B$7,"Yes","No")</f>
        <v/>
      </c>
    </row>
    <row r="18">
      <c r="A18" s="14" t="n">
        <v>26</v>
      </c>
      <c r="B18" s="15">
        <f>A18-$B$6</f>
        <v/>
      </c>
      <c r="C18" s="10">
        <f>$B$5/B18</f>
        <v/>
      </c>
      <c r="D18" s="11">
        <f>ROUNDUP(C18,0)</f>
        <v/>
      </c>
      <c r="E18" s="5">
        <f>IF(D18&lt;=$B$7,"Yes","No")</f>
        <v/>
      </c>
      <c r="G18" s="12" t="inlineStr">
        <is>
          <t>Q2.  The business charges $24 per shirt and sells 250 shirts in a month. What is its profit?</t>
        </is>
      </c>
    </row>
    <row r="19">
      <c r="A19" s="14" t="n">
        <v>28</v>
      </c>
      <c r="B19" s="15">
        <f>A19-$B$6</f>
        <v/>
      </c>
      <c r="C19" s="10">
        <f>$B$5/B19</f>
        <v/>
      </c>
      <c r="D19" s="11">
        <f>ROUNDUP(C19,0)</f>
        <v/>
      </c>
      <c r="E19" s="5">
        <f>IF(D19&lt;=$B$7,"Yes","No")</f>
        <v/>
      </c>
    </row>
    <row r="20">
      <c r="A20" s="14" t="n">
        <v>30</v>
      </c>
      <c r="B20" s="15">
        <f>A20-$B$6</f>
        <v/>
      </c>
      <c r="C20" s="10">
        <f>$B$5/B20</f>
        <v/>
      </c>
      <c r="D20" s="11">
        <f>ROUNDUP(C20,0)</f>
        <v/>
      </c>
      <c r="E20" s="5">
        <f>IF(D20&lt;=$B$7,"Yes","No")</f>
        <v/>
      </c>
      <c r="G20" s="16" t="inlineStr">
        <is>
          <t>(24 − 9.50) × 250 − 2400 = $1,225.00.</t>
        </is>
      </c>
      <c r="H20" s="17" t="n"/>
      <c r="I20" s="17" t="n"/>
      <c r="J20" s="17" t="n"/>
      <c r="K20" s="17" t="n"/>
      <c r="L20" s="17" t="n"/>
      <c r="M20" s="17" t="n"/>
      <c r="N20" s="18" t="n"/>
    </row>
    <row r="21">
      <c r="G21" s="19" t="n"/>
      <c r="N21" s="20" t="n"/>
    </row>
    <row r="22">
      <c r="A22" s="4" t="inlineStr">
        <is>
          <t>Your calculations</t>
        </is>
      </c>
      <c r="G22" s="21" t="n"/>
      <c r="H22" s="22" t="n"/>
      <c r="I22" s="22" t="n"/>
      <c r="J22" s="22" t="n"/>
      <c r="K22" s="22" t="n"/>
      <c r="L22" s="22" t="n"/>
      <c r="M22" s="22" t="n"/>
      <c r="N22" s="23" t="n"/>
    </row>
    <row r="23">
      <c r="A23" s="6" t="inlineStr">
        <is>
          <t>Lowest price in the table that breaks even within the limit ($)</t>
        </is>
      </c>
      <c r="B23" s="15">
        <f>INDEX(A11:A20,MATCH("Yes",E11:E20,0))</f>
        <v/>
      </c>
    </row>
    <row r="24">
      <c r="G24" s="12" t="inlineStr">
        <is>
          <t>Q3.  Insert a line chart of shirts needed to break even against price. Describe its shape and explain why it is not a straight line.</t>
        </is>
      </c>
    </row>
    <row r="25"/>
    <row r="26">
      <c r="G26" s="16" t="inlineStr">
        <is>
          <t>A decreasing curve that flattens out (part of a hyperbola). Shirts = 2400 ÷ (price − 9.50) is a reciprocal relationship, so each $2 increase saves fewer shirts than the one before.</t>
        </is>
      </c>
      <c r="H26" s="17" t="n"/>
      <c r="I26" s="17" t="n"/>
      <c r="J26" s="17" t="n"/>
      <c r="K26" s="17" t="n"/>
      <c r="L26" s="17" t="n"/>
      <c r="M26" s="17" t="n"/>
      <c r="N26" s="18" t="n"/>
    </row>
    <row r="27">
      <c r="G27" s="19" t="n"/>
      <c r="N27" s="20" t="n"/>
    </row>
    <row r="28">
      <c r="G28" s="21" t="n"/>
      <c r="H28" s="22" t="n"/>
      <c r="I28" s="22" t="n"/>
      <c r="J28" s="22" t="n"/>
      <c r="K28" s="22" t="n"/>
      <c r="L28" s="22" t="n"/>
      <c r="M28" s="22" t="n"/>
      <c r="N28" s="23" t="n"/>
    </row>
    <row r="30">
      <c r="G30" s="12" t="inlineStr">
        <is>
          <t>Q4.  The cost per shirt rises to $11. Change B6 (then change it back). Which prices in the table now break even within the limit?</t>
        </is>
      </c>
    </row>
    <row r="31"/>
    <row r="32">
      <c r="G32" s="16" t="inlineStr">
        <is>
          <t>$20.00, $22.00, $24.00, $26.00, $28.00, $30.00. The lowest is now $20.00 (267 shirts).</t>
        </is>
      </c>
      <c r="H32" s="17" t="n"/>
      <c r="I32" s="17" t="n"/>
      <c r="J32" s="17" t="n"/>
      <c r="K32" s="17" t="n"/>
      <c r="L32" s="17" t="n"/>
      <c r="M32" s="17" t="n"/>
      <c r="N32" s="18" t="n"/>
    </row>
    <row r="33">
      <c r="G33" s="19" t="n"/>
      <c r="N33" s="20" t="n"/>
    </row>
    <row r="34">
      <c r="G34" s="21" t="n"/>
      <c r="H34" s="22" t="n"/>
      <c r="I34" s="22" t="n"/>
      <c r="J34" s="22" t="n"/>
      <c r="K34" s="22" t="n"/>
      <c r="L34" s="22" t="n"/>
      <c r="M34" s="22" t="n"/>
      <c r="N34" s="23" t="n"/>
    </row>
  </sheetData>
  <mergeCells count="14">
    <mergeCell ref="G12:N13"/>
    <mergeCell ref="G20:N22"/>
    <mergeCell ref="G32:N34"/>
    <mergeCell ref="G7:N8"/>
    <mergeCell ref="A2:N2"/>
    <mergeCell ref="G14:N16"/>
    <mergeCell ref="G24:N25"/>
    <mergeCell ref="G18:N19"/>
    <mergeCell ref="G6:N6"/>
    <mergeCell ref="G5:N5"/>
    <mergeCell ref="G9:N9"/>
    <mergeCell ref="G26:N28"/>
    <mergeCell ref="G30:N31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4   Choosing a gym: simultaneous equations</t>
        </is>
      </c>
    </row>
    <row r="2" ht="30" customHeight="1">
      <c r="A2" s="2" t="inlineStr">
        <is>
          <t>Gym A charges a $99 joining fee and then $12 a week. Gym B has no joining fee but charges $15.50 a week. How long do you need to stay before Gym A works out cheaper?</t>
        </is>
      </c>
    </row>
    <row r="4">
      <c r="A4" s="4" t="inlineStr">
        <is>
          <t>Given information</t>
        </is>
      </c>
      <c r="G4" s="4" t="inlineStr">
        <is>
          <t>What to do</t>
        </is>
      </c>
    </row>
    <row r="5">
      <c r="A5" s="6" t="inlineStr">
        <is>
          <t>Gym A: joining fee ($)</t>
        </is>
      </c>
      <c r="B5" s="7" t="n">
        <v>99</v>
      </c>
      <c r="G5" s="9" t="inlineStr">
        <is>
          <t>1. Row 0 is done for you. Fill the formulas in row 16 down to 52 weeks.</t>
        </is>
      </c>
    </row>
    <row r="6">
      <c r="A6" s="6" t="inlineStr">
        <is>
          <t>Gym A: cost per week ($)</t>
        </is>
      </c>
      <c r="B6" s="7" t="n">
        <v>12</v>
      </c>
      <c r="G6" s="9" t="inlineStr">
        <is>
          <t>2. In B11, solve the two equations simultaneously with a formula: weeks = (b2 − b1) ÷ (m1 − m2).</t>
        </is>
      </c>
    </row>
    <row r="7">
      <c r="A7" s="6" t="inlineStr">
        <is>
          <t>Gym B: joining fee ($)</t>
        </is>
      </c>
      <c r="B7" s="7" t="n">
        <v>0</v>
      </c>
    </row>
    <row r="8">
      <c r="A8" s="6" t="inlineStr">
        <is>
          <t>Gym B: cost per week ($)</t>
        </is>
      </c>
      <c r="B8" s="7" t="n">
        <v>15.5</v>
      </c>
      <c r="G8" s="9" t="inlineStr">
        <is>
          <t>3. In B12, find the cost at that number of weeks.</t>
        </is>
      </c>
    </row>
    <row r="9">
      <c r="G9" s="12" t="inlineStr">
        <is>
          <t>Check: at 52 weeks Gym A should cost $723.00 and Gym B $806.00.</t>
        </is>
      </c>
    </row>
    <row r="10">
      <c r="A10" s="4" t="inlineStr">
        <is>
          <t>Your calculations</t>
        </is>
      </c>
    </row>
    <row r="11">
      <c r="A11" s="6" t="inlineStr">
        <is>
          <t>Weeks when the costs are equal (exact)</t>
        </is>
      </c>
      <c r="B11" s="10">
        <f>($B$7-$B$5)/($B$6-$B$8)</f>
        <v/>
      </c>
      <c r="G11" s="4" t="inlineStr">
        <is>
          <t>Questions – worked answers</t>
        </is>
      </c>
    </row>
    <row r="12">
      <c r="A12" s="6" t="inlineStr">
        <is>
          <t>Cost at that point ($)</t>
        </is>
      </c>
      <c r="B12" s="15">
        <f>$B$5+$B$6*B11</f>
        <v/>
      </c>
      <c r="G12" s="12" t="inlineStr">
        <is>
          <t>Q1.  Write an equation for the cost of each gym after w weeks. Use your calculation cells to solve them simultaneously.</t>
        </is>
      </c>
    </row>
    <row r="13"/>
    <row r="14">
      <c r="A14" s="4" t="inlineStr">
        <is>
          <t>Your table</t>
        </is>
      </c>
      <c r="G14" s="16" t="inlineStr">
        <is>
          <t>Gym A: C = 99 + 12w.  Gym B: C = 15.5w.  They are equal when 99 + 12w = 15.5w, so w = 99 ÷ 3.5 = 28.29 weeks, at a cost of $438.43.</t>
        </is>
      </c>
      <c r="H14" s="17" t="n"/>
      <c r="I14" s="17" t="n"/>
      <c r="J14" s="17" t="n"/>
      <c r="K14" s="17" t="n"/>
      <c r="L14" s="17" t="n"/>
      <c r="M14" s="17" t="n"/>
      <c r="N14" s="18" t="n"/>
    </row>
    <row r="15" ht="31.5" customHeight="1">
      <c r="A15" s="8" t="inlineStr">
        <is>
          <t>Weeks, w</t>
        </is>
      </c>
      <c r="B15" s="8" t="inlineStr">
        <is>
          <t>Gym A total cost ($)</t>
        </is>
      </c>
      <c r="C15" s="8" t="inlineStr">
        <is>
          <t>Gym B total cost ($)</t>
        </is>
      </c>
      <c r="D15" s="8" t="inlineStr">
        <is>
          <t>Cheaper</t>
        </is>
      </c>
      <c r="G15" s="19" t="n"/>
      <c r="N15" s="20" t="n"/>
    </row>
    <row r="16">
      <c r="A16" s="13" t="n">
        <v>0</v>
      </c>
      <c r="B16" s="14">
        <f>$B$5+$B$6*A16</f>
        <v/>
      </c>
      <c r="C16" s="14">
        <f>$B$7+$B$8*A16</f>
        <v/>
      </c>
      <c r="D16" s="25">
        <f>IF(B16&lt;C16,"Gym A",IF(B16=C16,"Same","Gym B"))</f>
        <v/>
      </c>
      <c r="G16" s="21" t="n"/>
      <c r="H16" s="22" t="n"/>
      <c r="I16" s="22" t="n"/>
      <c r="J16" s="22" t="n"/>
      <c r="K16" s="22" t="n"/>
      <c r="L16" s="22" t="n"/>
      <c r="M16" s="22" t="n"/>
      <c r="N16" s="23" t="n"/>
    </row>
    <row r="17">
      <c r="A17" s="13" t="n">
        <v>4</v>
      </c>
      <c r="B17" s="15">
        <f>$B$5+$B$6*A17</f>
        <v/>
      </c>
      <c r="C17" s="15">
        <f>$B$7+$B$8*A17</f>
        <v/>
      </c>
      <c r="D17" s="5">
        <f>IF(B17&lt;C17,"Gym A",IF(B17=C17,"Same","Gym B"))</f>
        <v/>
      </c>
    </row>
    <row r="18">
      <c r="A18" s="13" t="n">
        <v>8</v>
      </c>
      <c r="B18" s="15">
        <f>$B$5+$B$6*A18</f>
        <v/>
      </c>
      <c r="C18" s="15">
        <f>$B$7+$B$8*A18</f>
        <v/>
      </c>
      <c r="D18" s="5">
        <f>IF(B18&lt;C18,"Gym A",IF(B18=C18,"Same","Gym B"))</f>
        <v/>
      </c>
      <c r="G18" s="12" t="inlineStr">
        <is>
          <t>Q2.  From which whole week is Gym A cheaper?</t>
        </is>
      </c>
    </row>
    <row r="19">
      <c r="A19" s="13" t="n">
        <v>12</v>
      </c>
      <c r="B19" s="15">
        <f>$B$5+$B$6*A19</f>
        <v/>
      </c>
      <c r="C19" s="15">
        <f>$B$7+$B$8*A19</f>
        <v/>
      </c>
      <c r="D19" s="5">
        <f>IF(B19&lt;C19,"Gym A",IF(B19=C19,"Same","Gym B"))</f>
        <v/>
      </c>
      <c r="G19" s="16" t="inlineStr">
        <is>
          <t>Week 29: Gym A costs $447.00 and Gym B $449.50. (At week 28, Gym B is still cheaper.)</t>
        </is>
      </c>
      <c r="H19" s="17" t="n"/>
      <c r="I19" s="17" t="n"/>
      <c r="J19" s="17" t="n"/>
      <c r="K19" s="17" t="n"/>
      <c r="L19" s="17" t="n"/>
      <c r="M19" s="17" t="n"/>
      <c r="N19" s="18" t="n"/>
    </row>
    <row r="20">
      <c r="A20" s="13" t="n">
        <v>16</v>
      </c>
      <c r="B20" s="15">
        <f>$B$5+$B$6*A20</f>
        <v/>
      </c>
      <c r="C20" s="15">
        <f>$B$7+$B$8*A20</f>
        <v/>
      </c>
      <c r="D20" s="5">
        <f>IF(B20&lt;C20,"Gym A",IF(B20=C20,"Same","Gym B"))</f>
        <v/>
      </c>
      <c r="G20" s="19" t="n"/>
      <c r="N20" s="20" t="n"/>
    </row>
    <row r="21">
      <c r="A21" s="13" t="n">
        <v>20</v>
      </c>
      <c r="B21" s="15">
        <f>$B$5+$B$6*A21</f>
        <v/>
      </c>
      <c r="C21" s="15">
        <f>$B$7+$B$8*A21</f>
        <v/>
      </c>
      <c r="D21" s="5">
        <f>IF(B21&lt;C21,"Gym A",IF(B21=C21,"Same","Gym B"))</f>
        <v/>
      </c>
      <c r="G21" s="21" t="n"/>
      <c r="H21" s="22" t="n"/>
      <c r="I21" s="22" t="n"/>
      <c r="J21" s="22" t="n"/>
      <c r="K21" s="22" t="n"/>
      <c r="L21" s="22" t="n"/>
      <c r="M21" s="22" t="n"/>
      <c r="N21" s="23" t="n"/>
    </row>
    <row r="22">
      <c r="A22" s="13" t="n">
        <v>24</v>
      </c>
      <c r="B22" s="15">
        <f>$B$5+$B$6*A22</f>
        <v/>
      </c>
      <c r="C22" s="15">
        <f>$B$7+$B$8*A22</f>
        <v/>
      </c>
      <c r="D22" s="5">
        <f>IF(B22&lt;C22,"Gym A",IF(B22=C22,"Same","Gym B"))</f>
        <v/>
      </c>
    </row>
    <row r="23">
      <c r="A23" s="13" t="n">
        <v>28</v>
      </c>
      <c r="B23" s="15">
        <f>$B$5+$B$6*A23</f>
        <v/>
      </c>
      <c r="C23" s="15">
        <f>$B$7+$B$8*A23</f>
        <v/>
      </c>
      <c r="D23" s="5">
        <f>IF(B23&lt;C23,"Gym A",IF(B23=C23,"Same","Gym B"))</f>
        <v/>
      </c>
      <c r="G23" s="12" t="inlineStr">
        <is>
          <t>Q3.  Which gym is cheaper for a full year (52 weeks), and by how much?</t>
        </is>
      </c>
    </row>
    <row r="24">
      <c r="A24" s="13" t="n">
        <v>32</v>
      </c>
      <c r="B24" s="15">
        <f>$B$5+$B$6*A24</f>
        <v/>
      </c>
      <c r="C24" s="15">
        <f>$B$7+$B$8*A24</f>
        <v/>
      </c>
      <c r="D24" s="5">
        <f>IF(B24&lt;C24,"Gym A",IF(B24=C24,"Same","Gym B"))</f>
        <v/>
      </c>
      <c r="G24" s="16" t="inlineStr">
        <is>
          <t>Gym A, by $83.00 ($723.00 vs $806.00).</t>
        </is>
      </c>
      <c r="H24" s="17" t="n"/>
      <c r="I24" s="17" t="n"/>
      <c r="J24" s="17" t="n"/>
      <c r="K24" s="17" t="n"/>
      <c r="L24" s="17" t="n"/>
      <c r="M24" s="17" t="n"/>
      <c r="N24" s="18" t="n"/>
    </row>
    <row r="25">
      <c r="A25" s="13" t="n">
        <v>36</v>
      </c>
      <c r="B25" s="15">
        <f>$B$5+$B$6*A25</f>
        <v/>
      </c>
      <c r="C25" s="15">
        <f>$B$7+$B$8*A25</f>
        <v/>
      </c>
      <c r="D25" s="5">
        <f>IF(B25&lt;C25,"Gym A",IF(B25=C25,"Same","Gym B"))</f>
        <v/>
      </c>
      <c r="G25" s="19" t="n"/>
      <c r="N25" s="20" t="n"/>
    </row>
    <row r="26">
      <c r="A26" s="13" t="n">
        <v>40</v>
      </c>
      <c r="B26" s="15">
        <f>$B$5+$B$6*A26</f>
        <v/>
      </c>
      <c r="C26" s="15">
        <f>$B$7+$B$8*A26</f>
        <v/>
      </c>
      <c r="D26" s="5">
        <f>IF(B26&lt;C26,"Gym A",IF(B26=C26,"Same","Gym B"))</f>
        <v/>
      </c>
      <c r="G26" s="21" t="n"/>
      <c r="H26" s="22" t="n"/>
      <c r="I26" s="22" t="n"/>
      <c r="J26" s="22" t="n"/>
      <c r="K26" s="22" t="n"/>
      <c r="L26" s="22" t="n"/>
      <c r="M26" s="22" t="n"/>
      <c r="N26" s="23" t="n"/>
    </row>
    <row r="27">
      <c r="A27" s="13" t="n">
        <v>44</v>
      </c>
      <c r="B27" s="15">
        <f>$B$5+$B$6*A27</f>
        <v/>
      </c>
      <c r="C27" s="15">
        <f>$B$7+$B$8*A27</f>
        <v/>
      </c>
      <c r="D27" s="5">
        <f>IF(B27&lt;C27,"Gym A",IF(B27=C27,"Same","Gym B"))</f>
        <v/>
      </c>
    </row>
    <row r="28">
      <c r="A28" s="13" t="n">
        <v>48</v>
      </c>
      <c r="B28" s="15">
        <f>$B$5+$B$6*A28</f>
        <v/>
      </c>
      <c r="C28" s="15">
        <f>$B$7+$B$8*A28</f>
        <v/>
      </c>
      <c r="D28" s="5">
        <f>IF(B28&lt;C28,"Gym A",IF(B28=C28,"Same","Gym B"))</f>
        <v/>
      </c>
      <c r="G28" s="12" t="inlineStr">
        <is>
          <t>Q4.  Gym B drops its price to $14 a week. Change B8 (then change it back). When are the costs now equal? Who should choose which gym?</t>
        </is>
      </c>
    </row>
    <row r="29">
      <c r="A29" s="13" t="n">
        <v>52</v>
      </c>
      <c r="B29" s="15">
        <f>$B$5+$B$6*A29</f>
        <v/>
      </c>
      <c r="C29" s="15">
        <f>$B$7+$B$8*A29</f>
        <v/>
      </c>
      <c r="D29" s="5">
        <f>IF(B29&lt;C29,"Gym A",IF(B29=C29,"Same","Gym B"))</f>
        <v/>
      </c>
    </row>
    <row r="30">
      <c r="G30" s="16" t="inlineStr">
        <is>
          <t>99 ÷ (14 − 12) = 49.5 weeks. Gym B is cheaper for anyone staying 49 weeks or less; Gym A is cheaper from week 50, so only for people who stay almost a year or more.</t>
        </is>
      </c>
      <c r="H30" s="17" t="n"/>
      <c r="I30" s="17" t="n"/>
      <c r="J30" s="17" t="n"/>
      <c r="K30" s="17" t="n"/>
      <c r="L30" s="17" t="n"/>
      <c r="M30" s="17" t="n"/>
      <c r="N30" s="18" t="n"/>
    </row>
    <row r="31">
      <c r="G31" s="19" t="n"/>
      <c r="N31" s="20" t="n"/>
    </row>
    <row r="32">
      <c r="G32" s="21" t="n"/>
      <c r="H32" s="22" t="n"/>
      <c r="I32" s="22" t="n"/>
      <c r="J32" s="22" t="n"/>
      <c r="K32" s="22" t="n"/>
      <c r="L32" s="22" t="n"/>
      <c r="M32" s="22" t="n"/>
      <c r="N32" s="23" t="n"/>
    </row>
  </sheetData>
  <mergeCells count="14">
    <mergeCell ref="G8:N8"/>
    <mergeCell ref="G18:N18"/>
    <mergeCell ref="G30:N32"/>
    <mergeCell ref="G12:N13"/>
    <mergeCell ref="G28:N29"/>
    <mergeCell ref="G14:N16"/>
    <mergeCell ref="A2:N2"/>
    <mergeCell ref="G19:N21"/>
    <mergeCell ref="G6:N7"/>
    <mergeCell ref="G24:N26"/>
    <mergeCell ref="G5:N5"/>
    <mergeCell ref="G9:N9"/>
    <mergeCell ref="G23:N23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2026-10-17T21:06:46Z</dcterms:created>
  <dcterms:modified xsi:type="dcterms:W3CDTF">2026-10-17T21:06:46Z</dcterms:modified>
</cp:coreProperties>
</file>