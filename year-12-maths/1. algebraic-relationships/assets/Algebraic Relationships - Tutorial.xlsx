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Cost and revenue" sheetId="2" state="visible" r:id="rId2"/>
    <sheet name="2 Profit and loss" sheetId="3" state="visible" r:id="rId3"/>
    <sheet name="3 Changing the price" sheetId="4" state="visible" r:id="rId4"/>
    <sheet name="4 Simultaneous equations" sheetId="5" state="visible" r:id="rId5"/>
    <sheet name="Try it answers"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9">
    <font>
      <name val="Calibri"/>
      <family val="2"/>
      <color theme="1"/>
      <sz val="11"/>
      <scheme val="minor"/>
    </font>
    <font>
      <name val="Arial"/>
      <b val="1"/>
      <color rgb="00FFFFFF"/>
      <sz val="16"/>
    </font>
    <font>
      <name val="Arial"/>
      <i val="1"/>
      <color rgb="00404040"/>
      <sz val="10"/>
    </font>
    <font>
      <name val="Arial"/>
      <b val="1"/>
      <color rgb="001F4E5F"/>
      <sz val="11"/>
    </font>
    <font>
      <name val="Arial"/>
      <sz val="10"/>
    </font>
    <font>
      <name val="Arial"/>
      <color rgb="000000FF"/>
      <sz val="10"/>
    </font>
    <font>
      <name val="Arial"/>
      <b val="1"/>
      <color rgb="001F4E5F"/>
      <sz val="10"/>
    </font>
    <font>
      <name val="Arial"/>
      <b val="1"/>
      <sz val="10"/>
    </font>
    <font>
      <name val="Arial"/>
      <b val="1"/>
      <color rgb="007F3F00"/>
      <sz val="10"/>
    </font>
  </fonts>
  <fills count="5">
    <fill>
      <patternFill/>
    </fill>
    <fill>
      <patternFill patternType="gray125"/>
    </fill>
    <fill>
      <patternFill patternType="solid">
        <fgColor rgb="001F4E5F"/>
      </patternFill>
    </fill>
    <fill>
      <patternFill patternType="solid">
        <fgColor rgb="00FFF2A8"/>
      </patternFill>
    </fill>
    <fill>
      <patternFill patternType="solid">
        <fgColor rgb="00D9E7EC"/>
      </patternFill>
    </fill>
  </fills>
  <borders count="3">
    <border>
      <left/>
      <right/>
      <top/>
      <bottom/>
      <diagonal/>
    </border>
    <border>
      <left style="thin">
        <color rgb="00A6A6A6"/>
      </left>
      <right style="thin">
        <color rgb="00A6A6A6"/>
      </right>
      <top style="thin">
        <color rgb="00A6A6A6"/>
      </top>
      <bottom style="thin">
        <color rgb="00A6A6A6"/>
      </bottom>
    </border>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1" fontId="5" fillId="3" borderId="1" pivotButton="0" quotePrefix="0" xfId="0"/>
    <xf numFmtId="1" fontId="4" fillId="0" borderId="1" pivotButton="0" quotePrefix="0" xfId="0"/>
    <xf numFmtId="0" fontId="6" fillId="4" borderId="1" applyAlignment="1" pivotButton="0" quotePrefix="0" xfId="0">
      <alignment horizontal="center" vertical="center" wrapText="1"/>
    </xf>
    <xf numFmtId="0" fontId="7" fillId="0" borderId="0" pivotButton="0" quotePrefix="0" xfId="0"/>
    <xf numFmtId="164" fontId="5" fillId="3" borderId="1" pivotButton="0" quotePrefix="0" xfId="0"/>
    <xf numFmtId="0" fontId="4" fillId="0" borderId="0" applyAlignment="1" pivotButton="0" quotePrefix="0" xfId="0">
      <alignment vertical="top" wrapText="1"/>
    </xf>
    <xf numFmtId="0" fontId="8" fillId="0" borderId="0" applyAlignment="1" pivotButton="0" quotePrefix="0" xfId="0">
      <alignment vertical="top" wrapText="1"/>
    </xf>
    <xf numFmtId="2" fontId="4" fillId="0" borderId="1" pivotButton="0" quotePrefix="0" xfId="0"/>
    <xf numFmtId="164" fontId="4" fillId="0" borderId="1" pivotButton="0" quotePrefix="0" xfId="0"/>
    <xf numFmtId="0" fontId="7" fillId="0" borderId="1" pivotButton="0" quotePrefix="0" xfId="0"/>
    <xf numFmtId="0" fontId="4" fillId="0" borderId="1" applyAlignment="1" pivotButton="0" quotePrefix="0" xfId="0">
      <alignment horizontal="center"/>
    </xf>
    <xf numFmtId="0" fontId="4" fillId="0" borderId="0" applyAlignment="1" pivotButton="0" quotePrefix="0" xfId="0">
      <alignment vertical="top"/>
    </xf>
    <xf numFmtId="1" fontId="4" fillId="0" borderId="2"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Cost and revenue</a:t>
            </a:r>
          </a:p>
        </rich>
      </tx>
    </title>
    <plotArea>
      <lineChart>
        <grouping val="standard"/>
        <ser>
          <idx val="0"/>
          <order val="0"/>
          <tx>
            <strRef>
              <f>'1 Cost and revenue'!B14</f>
            </strRef>
          </tx>
          <spPr>
            <a:ln w="22225">
              <a:solidFill>
                <a:srgbClr val="4A7EBB"/>
              </a:solidFill>
              <a:prstDash val="solid"/>
            </a:ln>
          </spPr>
          <marker>
            <symbol val="none"/>
            <spPr>
              <a:ln>
                <a:prstDash val="solid"/>
              </a:ln>
            </spPr>
          </marker>
          <cat>
            <numRef>
              <f>'1 Cost and revenue'!$A$15:$A$31</f>
            </numRef>
          </cat>
          <val>
            <numRef>
              <f>'1 Cost and revenue'!$B$15:$B$31</f>
            </numRef>
          </val>
          <smooth val="0"/>
        </ser>
        <ser>
          <idx val="1"/>
          <order val="1"/>
          <tx>
            <strRef>
              <f>'1 Cost and revenue'!C14</f>
            </strRef>
          </tx>
          <spPr>
            <a:ln w="22225">
              <a:solidFill>
                <a:srgbClr val="BE4B48"/>
              </a:solidFill>
              <a:prstDash val="solid"/>
            </a:ln>
          </spPr>
          <marker>
            <symbol val="none"/>
            <spPr>
              <a:ln>
                <a:prstDash val="solid"/>
              </a:ln>
            </spPr>
          </marker>
          <cat>
            <numRef>
              <f>'1 Cost and revenue'!$A$15:$A$31</f>
            </numRef>
          </cat>
          <val>
            <numRef>
              <f>'1 Cost and revenue'!$C$15:$C$31</f>
            </numRef>
          </val>
          <smooth val="0"/>
        </ser>
        <axId val="10"/>
        <axId val="100"/>
      </lineChart>
      <catAx>
        <axId val="10"/>
        <scaling>
          <orientation val="minMax"/>
        </scaling>
        <delete val="0"/>
        <axPos val="b"/>
        <title>
          <tx>
            <rich>
              <a:bodyPr/>
              <a:p>
                <a:pPr>
                  <a:defRPr/>
                </a:pPr>
                <a:r>
                  <a:t>Cups sold per week</a:t>
                </a:r>
              </a:p>
            </rich>
          </tx>
        </title>
        <majorTickMark val="none"/>
        <minorTickMark val="none"/>
        <txPr>
          <a:bodyPr/>
          <a:p>
            <a:pPr>
              <a:defRPr sz="900"/>
            </a:pPr>
            <a:r>
              <a:t/>
            </a:r>
            <a:endParaRPr sz="900"/>
          </a:p>
        </txPr>
        <crossAx val="100"/>
        <lblOffset val="100"/>
      </catAx>
      <valAx>
        <axId val="100"/>
        <scaling>
          <orientation val="minMax"/>
        </scaling>
        <delete val="0"/>
        <axPos val="l"/>
        <majorGridlines/>
        <title>
          <tx>
            <rich>
              <a:bodyPr/>
              <a:p>
                <a:pPr>
                  <a:defRPr/>
                </a:pPr>
                <a:r>
                  <a:t>Dollars</a:t>
                </a:r>
              </a:p>
            </rich>
          </tx>
        </title>
        <numFmt formatCode="\$#,##0" sourceLinked="0"/>
        <majorTickMark val="none"/>
        <minorTickMark val="none"/>
        <txPr>
          <a:bodyPr/>
          <a:p>
            <a:pPr>
              <a:defRPr sz="900"/>
            </a:pPr>
            <a:r>
              <a:t/>
            </a:r>
            <a:endParaRPr sz="900"/>
          </a:p>
        </txPr>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Weekly profit</a:t>
            </a:r>
          </a:p>
        </rich>
      </tx>
    </title>
    <plotArea>
      <lineChart>
        <grouping val="standard"/>
        <ser>
          <idx val="0"/>
          <order val="0"/>
          <tx>
            <strRef>
              <f>'2 Profit and loss'!D18</f>
            </strRef>
          </tx>
          <spPr>
            <a:ln w="22225">
              <a:solidFill>
                <a:srgbClr val="4A7EBB"/>
              </a:solidFill>
              <a:prstDash val="solid"/>
            </a:ln>
          </spPr>
          <marker>
            <symbol val="none"/>
            <spPr>
              <a:ln>
                <a:prstDash val="solid"/>
              </a:ln>
            </spPr>
          </marker>
          <cat>
            <numRef>
              <f>'2 Profit and loss'!$A$19:$A$29</f>
            </numRef>
          </cat>
          <val>
            <numRef>
              <f>'2 Profit and loss'!$D$19:$D$29</f>
            </numRef>
          </val>
          <smooth val="0"/>
        </ser>
        <axId val="10"/>
        <axId val="100"/>
      </lineChart>
      <catAx>
        <axId val="10"/>
        <scaling>
          <orientation val="minMax"/>
        </scaling>
        <delete val="0"/>
        <axPos val="b"/>
        <title>
          <tx>
            <rich>
              <a:bodyPr/>
              <a:p>
                <a:pPr>
                  <a:defRPr/>
                </a:pPr>
                <a:r>
                  <a:t>Cups sold per week</a:t>
                </a:r>
              </a:p>
            </rich>
          </tx>
        </title>
        <majorTickMark val="none"/>
        <minorTickMark val="none"/>
        <txPr>
          <a:bodyPr/>
          <a:p>
            <a:pPr>
              <a:defRPr sz="900"/>
            </a:pPr>
            <a:r>
              <a:t/>
            </a:r>
            <a:endParaRPr sz="900"/>
          </a:p>
        </txPr>
        <crossAx val="100"/>
        <lblOffset val="100"/>
      </catAx>
      <valAx>
        <axId val="100"/>
        <scaling>
          <orientation val="minMax"/>
        </scaling>
        <delete val="0"/>
        <axPos val="l"/>
        <majorGridlines/>
        <title>
          <tx>
            <rich>
              <a:bodyPr/>
              <a:p>
                <a:pPr>
                  <a:defRPr/>
                </a:pPr>
                <a:r>
                  <a:t>Profit ($)</a:t>
                </a:r>
              </a:p>
            </rich>
          </tx>
        </title>
        <numFmt formatCode="\$#,##0" sourceLinked="0"/>
        <majorTickMark val="none"/>
        <minorTickMark val="none"/>
        <txPr>
          <a:bodyPr/>
          <a:p>
            <a:pPr>
              <a:defRPr sz="900"/>
            </a:pPr>
            <a:r>
              <a:t/>
            </a:r>
            <a:endParaRPr sz="900"/>
          </a:p>
        </txPr>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Cups needed to break even</a:t>
            </a:r>
          </a:p>
        </rich>
      </tx>
    </title>
    <plotArea>
      <lineChart>
        <grouping val="standard"/>
        <ser>
          <idx val="0"/>
          <order val="0"/>
          <tx>
            <strRef>
              <f>'3 Changing the price'!D14</f>
            </strRef>
          </tx>
          <spPr>
            <a:ln w="22225">
              <a:solidFill>
                <a:srgbClr val="4A7EBB"/>
              </a:solidFill>
              <a:prstDash val="solid"/>
            </a:ln>
          </spPr>
          <marker>
            <symbol val="none"/>
            <spPr>
              <a:ln>
                <a:prstDash val="solid"/>
              </a:ln>
            </spPr>
          </marker>
          <cat>
            <numRef>
              <f>'3 Changing the price'!$A$15:$A$25</f>
            </numRef>
          </cat>
          <val>
            <numRef>
              <f>'3 Changing the price'!$D$15:$D$25</f>
            </numRef>
          </val>
          <smooth val="0"/>
        </ser>
        <axId val="10"/>
        <axId val="100"/>
      </lineChart>
      <catAx>
        <axId val="10"/>
        <scaling>
          <orientation val="minMax"/>
        </scaling>
        <delete val="0"/>
        <axPos val="b"/>
        <title>
          <tx>
            <rich>
              <a:bodyPr/>
              <a:p>
                <a:pPr>
                  <a:defRPr/>
                </a:pPr>
                <a:r>
                  <a:t>Price per cup ($)</a:t>
                </a:r>
              </a:p>
            </rich>
          </tx>
        </title>
        <majorTickMark val="none"/>
        <minorTickMark val="none"/>
        <txPr>
          <a:bodyPr/>
          <a:p>
            <a:pPr>
              <a:defRPr sz="900"/>
            </a:pPr>
            <a:r>
              <a:t/>
            </a:r>
            <a:endParaRPr sz="900"/>
          </a:p>
        </txPr>
        <crossAx val="100"/>
        <lblOffset val="100"/>
      </catAx>
      <valAx>
        <axId val="100"/>
        <scaling>
          <orientation val="minMax"/>
        </scaling>
        <delete val="0"/>
        <axPos val="l"/>
        <majorGridlines/>
        <title>
          <tx>
            <rich>
              <a:bodyPr/>
              <a:p>
                <a:pPr>
                  <a:defRPr/>
                </a:pPr>
                <a:r>
                  <a:t>Cups per week</a:t>
                </a:r>
              </a:p>
            </rich>
          </tx>
        </title>
        <majorTickMark val="none"/>
        <minorTickMark val="none"/>
        <txPr>
          <a:bodyPr/>
          <a:p>
            <a:pPr>
              <a:defRPr sz="900"/>
            </a:pPr>
            <a:r>
              <a:t/>
            </a:r>
            <a:endParaRPr sz="900"/>
          </a:p>
        </txPr>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Taxi fares</a:t>
            </a:r>
          </a:p>
        </rich>
      </tx>
    </title>
    <plotArea>
      <lineChart>
        <grouping val="standard"/>
        <ser>
          <idx val="0"/>
          <order val="0"/>
          <tx>
            <strRef>
              <f>'4 Simultaneous equations'!B15</f>
            </strRef>
          </tx>
          <spPr>
            <a:ln w="22225">
              <a:solidFill>
                <a:srgbClr val="4A7EBB"/>
              </a:solidFill>
              <a:prstDash val="solid"/>
            </a:ln>
          </spPr>
          <marker>
            <symbol val="none"/>
            <spPr>
              <a:ln>
                <a:prstDash val="solid"/>
              </a:ln>
            </spPr>
          </marker>
          <cat>
            <numRef>
              <f>'4 Simultaneous equations'!$A$16:$A$36</f>
            </numRef>
          </cat>
          <val>
            <numRef>
              <f>'4 Simultaneous equations'!$B$16:$B$36</f>
            </numRef>
          </val>
          <smooth val="0"/>
        </ser>
        <ser>
          <idx val="1"/>
          <order val="1"/>
          <tx>
            <strRef>
              <f>'4 Simultaneous equations'!C15</f>
            </strRef>
          </tx>
          <spPr>
            <a:ln w="22225">
              <a:solidFill>
                <a:srgbClr val="BE4B48"/>
              </a:solidFill>
              <a:prstDash val="solid"/>
            </a:ln>
          </spPr>
          <marker>
            <symbol val="none"/>
            <spPr>
              <a:ln>
                <a:prstDash val="solid"/>
              </a:ln>
            </spPr>
          </marker>
          <cat>
            <numRef>
              <f>'4 Simultaneous equations'!$A$16:$A$36</f>
            </numRef>
          </cat>
          <val>
            <numRef>
              <f>'4 Simultaneous equations'!$C$16:$C$36</f>
            </numRef>
          </val>
          <smooth val="0"/>
        </ser>
        <axId val="10"/>
        <axId val="100"/>
      </lineChart>
      <catAx>
        <axId val="10"/>
        <scaling>
          <orientation val="minMax"/>
        </scaling>
        <delete val="0"/>
        <axPos val="b"/>
        <title>
          <tx>
            <rich>
              <a:bodyPr/>
              <a:p>
                <a:pPr>
                  <a:defRPr/>
                </a:pPr>
                <a:r>
                  <a:t>Distance (km)</a:t>
                </a:r>
              </a:p>
            </rich>
          </tx>
        </title>
        <majorTickMark val="none"/>
        <minorTickMark val="none"/>
        <txPr>
          <a:bodyPr/>
          <a:p>
            <a:pPr>
              <a:defRPr sz="900"/>
            </a:pPr>
            <a:r>
              <a:t/>
            </a:r>
            <a:endParaRPr sz="900"/>
          </a:p>
        </txPr>
        <crossAx val="100"/>
        <lblOffset val="100"/>
      </catAx>
      <valAx>
        <axId val="100"/>
        <scaling>
          <orientation val="minMax"/>
        </scaling>
        <delete val="0"/>
        <axPos val="l"/>
        <majorGridlines/>
        <title>
          <tx>
            <rich>
              <a:bodyPr/>
              <a:p>
                <a:pPr>
                  <a:defRPr/>
                </a:pPr>
                <a:r>
                  <a:t>Fare ($)</a:t>
                </a:r>
              </a:p>
            </rich>
          </tx>
        </title>
        <numFmt formatCode="\$#,##0" sourceLinked="0"/>
        <majorTickMark val="none"/>
        <minorTickMark val="none"/>
        <txPr>
          <a:bodyPr/>
          <a:p>
            <a:pPr>
              <a:defRPr sz="900"/>
            </a:pPr>
            <a:r>
              <a:t/>
            </a:r>
            <a:endParaRPr sz="900"/>
          </a:p>
        </txPr>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15</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14</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14</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26" customWidth="1" min="1" max="1"/>
    <col width="62" customWidth="1" min="2" max="2"/>
    <col width="58" customWidth="1" min="3" max="3"/>
  </cols>
  <sheetData>
    <row r="1" ht="31.5" customHeight="1">
      <c r="A1" s="1" t="inlineStr">
        <is>
          <t>Break-even and Simultaneous Equations – Spreadsheet Tutorial</t>
        </is>
      </c>
    </row>
    <row r="2" ht="30" customHeight="1">
      <c r="A2" s="2" t="inlineStr">
        <is>
          <t>Work through the tabs in order. Every table is built from formulas, so change a yellow cell and watch the numbers and graphs update.</t>
        </is>
      </c>
    </row>
    <row r="4">
      <c r="A4" s="3" t="inlineStr">
        <is>
          <t>What you will learn</t>
        </is>
      </c>
    </row>
    <row r="5">
      <c r="A5" s="4" t="inlineStr">
        <is>
          <t xml:space="preserve">   1.  Model cost and revenue with linear formulas, in a table and on a graph.</t>
        </is>
      </c>
    </row>
    <row r="6">
      <c r="A6" s="4" t="inlineStr">
        <is>
          <t xml:space="preserve">   2.  Find the break-even point and decide when a business makes a profit or a loss.</t>
        </is>
      </c>
    </row>
    <row r="7">
      <c r="A7" s="4" t="inlineStr">
        <is>
          <t xml:space="preserve">   3.  Explore how changing the price or the costs moves the break-even point.</t>
        </is>
      </c>
    </row>
    <row r="8">
      <c r="A8" s="4" t="inlineStr">
        <is>
          <t xml:space="preserve">   4.  Solve a pair of simultaneous linear equations with a spreadsheet.</t>
        </is>
      </c>
    </row>
    <row r="10">
      <c r="A10" s="3" t="inlineStr">
        <is>
          <t>Colour key</t>
        </is>
      </c>
    </row>
    <row r="11">
      <c r="A11" s="5" t="n">
        <v>100</v>
      </c>
      <c r="B11" s="4" t="inlineStr">
        <is>
          <t>Yellow cell with blue text = an input. Change these to explore.</t>
        </is>
      </c>
    </row>
    <row r="12">
      <c r="A12" s="6">
        <f>A11*2</f>
        <v/>
      </c>
      <c r="B12" s="4" t="inlineStr">
        <is>
          <t>White cell with black text = a formula. Click it to read the formula, but don't type over it.</t>
        </is>
      </c>
    </row>
    <row r="13">
      <c r="A13" s="3" t="inlineStr">
        <is>
          <t>Try it</t>
        </is>
      </c>
      <c r="B13" s="4" t="inlineStr">
        <is>
          <t>Short tasks on each tab. Answers are on the last tab.</t>
        </is>
      </c>
    </row>
    <row r="15">
      <c r="A15" s="3" t="inlineStr">
        <is>
          <t>The tabs</t>
        </is>
      </c>
    </row>
    <row r="16" ht="15" customHeight="1">
      <c r="A16" s="7" t="inlineStr">
        <is>
          <t>Tab</t>
        </is>
      </c>
      <c r="B16" s="7" t="inlineStr">
        <is>
          <t>What you model</t>
        </is>
      </c>
      <c r="C16" s="7" t="inlineStr">
        <is>
          <t>Key formula or function</t>
        </is>
      </c>
    </row>
    <row r="17">
      <c r="A17" s="4" t="inlineStr">
        <is>
          <t>1 Cost and revenue</t>
        </is>
      </c>
      <c r="B17" s="4" t="inlineStr">
        <is>
          <t>A café’s weekly cost and revenue, and its break-even point</t>
        </is>
      </c>
      <c r="C17" s="4" t="inlineStr">
        <is>
          <t>C = F + Vx,   R = px,   x = F ÷ (p − V)</t>
        </is>
      </c>
    </row>
    <row r="18">
      <c r="A18" s="4" t="inlineStr">
        <is>
          <t>2 Profit and loss</t>
        </is>
      </c>
      <c r="B18" s="4" t="inlineStr">
        <is>
          <t>Profit, loss and a target profit for the café</t>
        </is>
      </c>
      <c r="C18" s="4" t="inlineStr">
        <is>
          <t>P = R − C,   IF</t>
        </is>
      </c>
    </row>
    <row r="19">
      <c r="A19" s="4" t="inlineStr">
        <is>
          <t>3 Changing the price</t>
        </is>
      </c>
      <c r="B19" s="4" t="inlineStr">
        <is>
          <t>How the price per cup changes the break-even point</t>
        </is>
      </c>
      <c r="C19" s="4" t="inlineStr">
        <is>
          <t>F ÷ (p − V),   INDEX and MATCH</t>
        </is>
      </c>
    </row>
    <row r="20">
      <c r="A20" s="4" t="inlineStr">
        <is>
          <t>4 Simultaneous equations</t>
        </is>
      </c>
      <c r="B20" s="4" t="inlineStr">
        <is>
          <t>Comparing two taxi companies</t>
        </is>
      </c>
      <c r="C20" s="4" t="inlineStr">
        <is>
          <t>x = (b2 − b1) ÷ (m1 − m2)</t>
        </is>
      </c>
    </row>
    <row r="23">
      <c r="A23" s="3" t="inlineStr">
        <is>
          <t>Spreadsheet skills you will use</t>
        </is>
      </c>
    </row>
    <row r="24">
      <c r="A24" s="8" t="inlineStr">
        <is>
          <t>Cell references</t>
        </is>
      </c>
      <c r="B24" s="4" t="inlineStr">
        <is>
          <t>The formula =B5+B6*A15 uses the values in those cells. Change B5 and the answer updates.</t>
        </is>
      </c>
    </row>
    <row r="25">
      <c r="A25" s="8" t="inlineStr">
        <is>
          <t>Absolute references</t>
        </is>
      </c>
      <c r="B25" s="4" t="inlineStr">
        <is>
          <t>$B$5 stays locked on B5 when a formula is filled down. A15 (no $ signs) moves down a row each time.</t>
        </is>
      </c>
    </row>
    <row r="26">
      <c r="A26" s="8" t="inlineStr">
        <is>
          <t>Fill down</t>
        </is>
      </c>
      <c r="B26" s="4" t="inlineStr">
        <is>
          <t>Select the cell, then drag the small square at its bottom-right corner (or double-click it).</t>
        </is>
      </c>
    </row>
    <row r="27">
      <c r="A27" s="8" t="inlineStr">
        <is>
          <t>ROUNDUP</t>
        </is>
      </c>
      <c r="B27" s="4" t="inlineStr">
        <is>
          <t>=ROUNDUP(B9,0) rounds up to a whole number. Use it when you need enough whole items to cover the costs.</t>
        </is>
      </c>
    </row>
    <row r="28">
      <c r="A28" s="8" t="inlineStr">
        <is>
          <t>IF</t>
        </is>
      </c>
      <c r="B28" s="4" t="inlineStr">
        <is>
          <t>=IF(D15&gt;0,"Profit","Loss") tests a condition and shows one result if it is true, another if it is false.</t>
        </is>
      </c>
    </row>
    <row r="29">
      <c r="A29" s="8" t="inlineStr">
        <is>
          <t>Insert a chart</t>
        </is>
      </c>
      <c r="B29" s="4" t="inlineStr">
        <is>
          <t>Select the table including its headings, then Insert &gt; Charts &gt; Line. Add a chart title and axis titles.</t>
        </is>
      </c>
    </row>
    <row r="30">
      <c r="A30" s="8" t="inlineStr">
        <is>
          <t>If you get lost</t>
        </is>
      </c>
      <c r="B30" s="4" t="inlineStr">
        <is>
          <t>Press Ctrl+Z (Cmd+Z on a Mac) to undo, or close without saving and reopen the file.</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7"/>
  <sheetViews>
    <sheetView showGridLines="0" workbookViewId="0">
      <selection activeCell="A1" sqref="A1"/>
    </sheetView>
  </sheetViews>
  <sheetFormatPr baseColWidth="8" defaultRowHeight="15"/>
  <cols>
    <col width="42" customWidth="1" min="1" max="1"/>
    <col width="17" customWidth="1" min="2" max="2"/>
    <col width="17" customWidth="1" min="3" max="3"/>
    <col width="17" customWidth="1" min="4" max="4"/>
    <col width="17" customWidth="1" min="5" max="5"/>
    <col width="3" customWidth="1" min="6" max="6"/>
    <col width="3" customWidth="1" min="7" max="7"/>
    <col width="11" customWidth="1" min="8" max="8"/>
  </cols>
  <sheetData>
    <row r="1" ht="31.5" customHeight="1">
      <c r="A1" s="1" t="inlineStr">
        <is>
          <t>1   Cost, revenue and the break-even point</t>
        </is>
      </c>
    </row>
    <row r="2" ht="30" customHeight="1">
      <c r="A2" s="2" t="inlineStr">
        <is>
          <t>A small café pays fixed costs every week (rent, wages, insurance) plus a variable cost for every cup of coffee it makes. How many cups must it sell each week to cover its costs?</t>
        </is>
      </c>
    </row>
    <row r="4">
      <c r="A4" s="3" t="inlineStr">
        <is>
          <t>Inputs – change these</t>
        </is>
      </c>
      <c r="H4" s="3" t="inlineStr">
        <is>
          <t>How it works</t>
        </is>
      </c>
    </row>
    <row r="5">
      <c r="A5" s="4" t="inlineStr">
        <is>
          <t>Fixed costs per week, F ($)</t>
        </is>
      </c>
      <c r="B5" s="9" t="n">
        <v>1200</v>
      </c>
      <c r="H5" s="10" t="inlineStr">
        <is>
          <t>Cost has two parts: fixed costs, paid no matter how many cups are sold, and a variable cost for every cup made.</t>
        </is>
      </c>
    </row>
    <row r="6">
      <c r="A6" s="4" t="inlineStr">
        <is>
          <t>Variable cost per cup, V ($)</t>
        </is>
      </c>
      <c r="B6" s="9" t="n">
        <v>1.4</v>
      </c>
    </row>
    <row r="7">
      <c r="A7" s="4" t="inlineStr">
        <is>
          <t>Selling price per cup, p ($)</t>
        </is>
      </c>
      <c r="B7" s="9" t="n">
        <v>4.5</v>
      </c>
      <c r="H7" s="11" t="inlineStr">
        <is>
          <t xml:space="preserve">    C = F + Vx          Cell B15:   =$B$5+$B$6*A15</t>
        </is>
      </c>
    </row>
    <row r="8">
      <c r="A8" s="3" t="inlineStr">
        <is>
          <t>Results</t>
        </is>
      </c>
      <c r="H8" s="10" t="inlineStr">
        <is>
          <t>Revenue is the money taken from customers: the price times the number of cups sold.</t>
        </is>
      </c>
    </row>
    <row r="9">
      <c r="A9" s="4" t="inlineStr">
        <is>
          <t>Break-even point (exact number of cups)</t>
        </is>
      </c>
      <c r="B9" s="12">
        <f>B5/(B7-B6)</f>
        <v/>
      </c>
      <c r="H9" s="11" t="inlineStr">
        <is>
          <t xml:space="preserve">    R = px          Cell C15:   =$B$7*A15</t>
        </is>
      </c>
    </row>
    <row r="10">
      <c r="A10" s="4" t="inlineStr">
        <is>
          <t>Cups to sell to break even</t>
        </is>
      </c>
      <c r="B10" s="6">
        <f>ROUNDUP(B9,0)</f>
        <v/>
      </c>
      <c r="H10" s="10" t="inlineStr">
        <is>
          <t>At the break-even point cost equals revenue, so the profit is zero. Solving F + Vx = px for x gives:</t>
        </is>
      </c>
    </row>
    <row r="11">
      <c r="A11" s="4" t="inlineStr">
        <is>
          <t>Cost = revenue at the break-even point ($)</t>
        </is>
      </c>
      <c r="B11" s="13">
        <f>B7*B9</f>
        <v/>
      </c>
    </row>
    <row r="12">
      <c r="H12" s="11" t="inlineStr">
        <is>
          <t xml:space="preserve">    x = F ÷ (p − V)          Cell B9:   =B5/(B7-B6)</t>
        </is>
      </c>
    </row>
    <row r="13">
      <c r="H13" s="10" t="inlineStr">
        <is>
          <t>You cannot sell part of a cup, so ROUNDUP gives the first whole number of cups that covers the costs. On the graph, break-even is where the two lines cross.</t>
        </is>
      </c>
    </row>
    <row r="14" ht="31.5" customHeight="1">
      <c r="A14" s="7" t="inlineStr">
        <is>
          <t>Cups sold per week, x</t>
        </is>
      </c>
      <c r="B14" s="7" t="inlineStr">
        <is>
          <t>Cost, C ($)</t>
        </is>
      </c>
      <c r="C14" s="7" t="inlineStr">
        <is>
          <t>Revenue, R ($)</t>
        </is>
      </c>
      <c r="D14" s="7" t="inlineStr">
        <is>
          <t>Profit, P = R − C ($)</t>
        </is>
      </c>
    </row>
    <row r="15">
      <c r="A15" s="6" t="n">
        <v>0</v>
      </c>
      <c r="B15" s="13">
        <f>$B$5+$B$6*A15</f>
        <v/>
      </c>
      <c r="C15" s="13">
        <f>$B$7*A15</f>
        <v/>
      </c>
      <c r="D15" s="13">
        <f>C15-B15</f>
        <v/>
      </c>
    </row>
    <row r="16">
      <c r="A16" s="6" t="n">
        <v>50</v>
      </c>
      <c r="B16" s="13">
        <f>$B$5+$B$6*A16</f>
        <v/>
      </c>
      <c r="C16" s="13">
        <f>$B$7*A16</f>
        <v/>
      </c>
      <c r="D16" s="13">
        <f>C16-B16</f>
        <v/>
      </c>
    </row>
    <row r="17">
      <c r="A17" s="6" t="n">
        <v>100</v>
      </c>
      <c r="B17" s="13">
        <f>$B$5+$B$6*A17</f>
        <v/>
      </c>
      <c r="C17" s="13">
        <f>$B$7*A17</f>
        <v/>
      </c>
      <c r="D17" s="13">
        <f>C17-B17</f>
        <v/>
      </c>
    </row>
    <row r="18">
      <c r="A18" s="6" t="n">
        <v>150</v>
      </c>
      <c r="B18" s="13">
        <f>$B$5+$B$6*A18</f>
        <v/>
      </c>
      <c r="C18" s="13">
        <f>$B$7*A18</f>
        <v/>
      </c>
      <c r="D18" s="13">
        <f>C18-B18</f>
        <v/>
      </c>
    </row>
    <row r="19">
      <c r="A19" s="6" t="n">
        <v>200</v>
      </c>
      <c r="B19" s="13">
        <f>$B$5+$B$6*A19</f>
        <v/>
      </c>
      <c r="C19" s="13">
        <f>$B$7*A19</f>
        <v/>
      </c>
      <c r="D19" s="13">
        <f>C19-B19</f>
        <v/>
      </c>
    </row>
    <row r="20">
      <c r="A20" s="6" t="n">
        <v>250</v>
      </c>
      <c r="B20" s="13">
        <f>$B$5+$B$6*A20</f>
        <v/>
      </c>
      <c r="C20" s="13">
        <f>$B$7*A20</f>
        <v/>
      </c>
      <c r="D20" s="13">
        <f>C20-B20</f>
        <v/>
      </c>
    </row>
    <row r="21">
      <c r="A21" s="6" t="n">
        <v>300</v>
      </c>
      <c r="B21" s="13">
        <f>$B$5+$B$6*A21</f>
        <v/>
      </c>
      <c r="C21" s="13">
        <f>$B$7*A21</f>
        <v/>
      </c>
      <c r="D21" s="13">
        <f>C21-B21</f>
        <v/>
      </c>
    </row>
    <row r="22">
      <c r="A22" s="6" t="n">
        <v>350</v>
      </c>
      <c r="B22" s="13">
        <f>$B$5+$B$6*A22</f>
        <v/>
      </c>
      <c r="C22" s="13">
        <f>$B$7*A22</f>
        <v/>
      </c>
      <c r="D22" s="13">
        <f>C22-B22</f>
        <v/>
      </c>
    </row>
    <row r="23">
      <c r="A23" s="6" t="n">
        <v>400</v>
      </c>
      <c r="B23" s="13">
        <f>$B$5+$B$6*A23</f>
        <v/>
      </c>
      <c r="C23" s="13">
        <f>$B$7*A23</f>
        <v/>
      </c>
      <c r="D23" s="13">
        <f>C23-B23</f>
        <v/>
      </c>
    </row>
    <row r="24">
      <c r="A24" s="6" t="n">
        <v>450</v>
      </c>
      <c r="B24" s="13">
        <f>$B$5+$B$6*A24</f>
        <v/>
      </c>
      <c r="C24" s="13">
        <f>$B$7*A24</f>
        <v/>
      </c>
      <c r="D24" s="13">
        <f>C24-B24</f>
        <v/>
      </c>
    </row>
    <row r="25">
      <c r="A25" s="6" t="n">
        <v>500</v>
      </c>
      <c r="B25" s="13">
        <f>$B$5+$B$6*A25</f>
        <v/>
      </c>
      <c r="C25" s="13">
        <f>$B$7*A25</f>
        <v/>
      </c>
      <c r="D25" s="13">
        <f>C25-B25</f>
        <v/>
      </c>
    </row>
    <row r="26">
      <c r="A26" s="6" t="n">
        <v>550</v>
      </c>
      <c r="B26" s="13">
        <f>$B$5+$B$6*A26</f>
        <v/>
      </c>
      <c r="C26" s="13">
        <f>$B$7*A26</f>
        <v/>
      </c>
      <c r="D26" s="13">
        <f>C26-B26</f>
        <v/>
      </c>
    </row>
    <row r="27">
      <c r="A27" s="6" t="n">
        <v>600</v>
      </c>
      <c r="B27" s="13">
        <f>$B$5+$B$6*A27</f>
        <v/>
      </c>
      <c r="C27" s="13">
        <f>$B$7*A27</f>
        <v/>
      </c>
      <c r="D27" s="13">
        <f>C27-B27</f>
        <v/>
      </c>
    </row>
    <row r="28">
      <c r="A28" s="6" t="n">
        <v>650</v>
      </c>
      <c r="B28" s="13">
        <f>$B$5+$B$6*A28</f>
        <v/>
      </c>
      <c r="C28" s="13">
        <f>$B$7*A28</f>
        <v/>
      </c>
      <c r="D28" s="13">
        <f>C28-B28</f>
        <v/>
      </c>
    </row>
    <row r="29">
      <c r="A29" s="6" t="n">
        <v>700</v>
      </c>
      <c r="B29" s="13">
        <f>$B$5+$B$6*A29</f>
        <v/>
      </c>
      <c r="C29" s="13">
        <f>$B$7*A29</f>
        <v/>
      </c>
      <c r="D29" s="13">
        <f>C29-B29</f>
        <v/>
      </c>
    </row>
    <row r="30">
      <c r="A30" s="6" t="n">
        <v>750</v>
      </c>
      <c r="B30" s="13">
        <f>$B$5+$B$6*A30</f>
        <v/>
      </c>
      <c r="C30" s="13">
        <f>$B$7*A30</f>
        <v/>
      </c>
      <c r="D30" s="13">
        <f>C30-B30</f>
        <v/>
      </c>
    </row>
    <row r="31">
      <c r="A31" s="6" t="n">
        <v>800</v>
      </c>
      <c r="B31" s="13">
        <f>$B$5+$B$6*A31</f>
        <v/>
      </c>
      <c r="C31" s="13">
        <f>$B$7*A31</f>
        <v/>
      </c>
      <c r="D31" s="13">
        <f>C31-B31</f>
        <v/>
      </c>
    </row>
    <row r="32">
      <c r="H32" s="3" t="inlineStr">
        <is>
          <t>Try it</t>
        </is>
      </c>
    </row>
    <row r="33">
      <c r="H33" s="10" t="inlineStr">
        <is>
          <t>1. Change the price to $5.00. How many cups must the café now sell to break even?</t>
        </is>
      </c>
    </row>
    <row r="34">
      <c r="H34" s="10" t="inlineStr">
        <is>
          <t>2. Set the price back to $4.50 and change the fixed costs to $1,500. How many cups now?</t>
        </is>
      </c>
    </row>
    <row r="35">
      <c r="H35" s="10" t="inlineStr">
        <is>
          <t>3. On the graph, what does the gap between the lines to the right of the crossing point represent?</t>
        </is>
      </c>
    </row>
    <row r="36"/>
    <row r="37">
      <c r="H37" s="2" t="inlineStr">
        <is>
          <t>Set the inputs back to $1,200, $1.40 and $4.50 when you finish.</t>
        </is>
      </c>
    </row>
  </sheetData>
  <mergeCells count="13">
    <mergeCell ref="H10:Q11"/>
    <mergeCell ref="H37:Q37"/>
    <mergeCell ref="H5:Q6"/>
    <mergeCell ref="H8:Q8"/>
    <mergeCell ref="H13:Q14"/>
    <mergeCell ref="H35:Q36"/>
    <mergeCell ref="H34:Q34"/>
    <mergeCell ref="H9:Q9"/>
    <mergeCell ref="H12:Q12"/>
    <mergeCell ref="A2:Q2"/>
    <mergeCell ref="H7:Q7"/>
    <mergeCell ref="H33:Q33"/>
    <mergeCell ref="A1:Q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Q35"/>
  <sheetViews>
    <sheetView showGridLines="0" workbookViewId="0">
      <selection activeCell="A1" sqref="A1"/>
    </sheetView>
  </sheetViews>
  <sheetFormatPr baseColWidth="8" defaultRowHeight="15"/>
  <cols>
    <col width="42" customWidth="1" min="1" max="1"/>
    <col width="17" customWidth="1" min="2" max="2"/>
    <col width="17" customWidth="1" min="3" max="3"/>
    <col width="17" customWidth="1" min="4" max="4"/>
    <col width="17" customWidth="1" min="5" max="5"/>
    <col width="3" customWidth="1" min="6" max="6"/>
    <col width="3" customWidth="1" min="7" max="7"/>
    <col width="11" customWidth="1" min="8" max="8"/>
  </cols>
  <sheetData>
    <row r="1" ht="31.5" customHeight="1">
      <c r="A1" s="1" t="inlineStr">
        <is>
          <t>2   Profit and loss</t>
        </is>
      </c>
    </row>
    <row r="2" ht="30" customHeight="1">
      <c r="A2" s="2" t="inlineStr">
        <is>
          <t>The same café wants to know when it is making a profit, how big its losses can be, and how many cups it needs to sell to reach a weekly profit target.</t>
        </is>
      </c>
    </row>
    <row r="4">
      <c r="A4" s="3" t="inlineStr">
        <is>
          <t>Inputs – change these</t>
        </is>
      </c>
      <c r="H4" s="3" t="inlineStr">
        <is>
          <t>How it works</t>
        </is>
      </c>
    </row>
    <row r="5">
      <c r="A5" s="4" t="inlineStr">
        <is>
          <t>Fixed costs per week, F ($)</t>
        </is>
      </c>
      <c r="B5" s="9" t="n">
        <v>1200</v>
      </c>
      <c r="H5" s="10" t="inlineStr">
        <is>
          <t>Profit is revenue minus cost. Each cup sold brings in p − V more than it costs to make (B12), and that money pays off the fixed costs first.</t>
        </is>
      </c>
    </row>
    <row r="6">
      <c r="A6" s="4" t="inlineStr">
        <is>
          <t>Variable cost per cup, V ($)</t>
        </is>
      </c>
      <c r="B6" s="9" t="n">
        <v>1.4</v>
      </c>
    </row>
    <row r="7">
      <c r="A7" s="4" t="inlineStr">
        <is>
          <t>Selling price per cup, p ($)</t>
        </is>
      </c>
      <c r="B7" s="9" t="n">
        <v>4.5</v>
      </c>
      <c r="H7" s="11" t="inlineStr">
        <is>
          <t xml:space="preserve">    P = (p − V)x − F          Cell D19:   =C19-B19</t>
        </is>
      </c>
    </row>
    <row r="8">
      <c r="A8" s="4" t="inlineStr">
        <is>
          <t>Target profit per week, T ($)</t>
        </is>
      </c>
      <c r="B8" s="9" t="n">
        <v>800</v>
      </c>
      <c r="H8" s="10" t="inlineStr">
        <is>
          <t>To make a target profit T, the cups sold must cover the fixed costs AND the target:</t>
        </is>
      </c>
    </row>
    <row r="9">
      <c r="A9" s="4" t="inlineStr">
        <is>
          <t>Cups sold this week</t>
        </is>
      </c>
      <c r="B9" s="5" t="n">
        <v>300</v>
      </c>
      <c r="H9" s="11" t="inlineStr">
        <is>
          <t xml:space="preserve">    x = (F + T) ÷ (p − V)          Cell B14:   =ROUNDUP((B5+B8)/B12,0)</t>
        </is>
      </c>
    </row>
    <row r="10">
      <c r="H10" s="10" t="inlineStr">
        <is>
          <t>IF chooses what to display. It tests the profit and shows Profit, Break even or Loss.</t>
        </is>
      </c>
    </row>
    <row r="11">
      <c r="A11" s="3" t="inlineStr">
        <is>
          <t>Results</t>
        </is>
      </c>
      <c r="H11" s="11" t="inlineStr">
        <is>
          <t xml:space="preserve">    Cell E19:   =IF(D19&gt;0,"Profit",IF(D19=0,"Break even","Loss"))</t>
        </is>
      </c>
    </row>
    <row r="12">
      <c r="A12" s="4" t="inlineStr">
        <is>
          <t>Profit on each cup sold, p − V ($)</t>
        </is>
      </c>
      <c r="B12" s="13">
        <f>B7-B6</f>
        <v/>
      </c>
      <c r="H12" s="10" t="inlineStr">
        <is>
          <t>A negative profit is a loss. The biggest loss is at 0 cups, when the café still pays all of its fixed costs.</t>
        </is>
      </c>
    </row>
    <row r="13">
      <c r="A13" s="4" t="inlineStr">
        <is>
          <t>Cups to sell to break even</t>
        </is>
      </c>
      <c r="B13" s="6">
        <f>ROUNDUP(B5/B12,0)</f>
        <v/>
      </c>
    </row>
    <row r="14">
      <c r="A14" s="4" t="inlineStr">
        <is>
          <t>Cups to sell to reach the target profit</t>
        </is>
      </c>
      <c r="B14" s="6">
        <f>ROUNDUP((B5+B8)/B12,0)</f>
        <v/>
      </c>
    </row>
    <row r="15">
      <c r="A15" s="4" t="inlineStr">
        <is>
          <t>Profit this week ($)</t>
        </is>
      </c>
      <c r="B15" s="13">
        <f>B7*B9-(B5+B6*B9)</f>
        <v/>
      </c>
    </row>
    <row r="16">
      <c r="A16" s="4" t="inlineStr">
        <is>
          <t>This week the café made a</t>
        </is>
      </c>
      <c r="B16" s="14">
        <f>IF(B15&gt;0,"Profit",IF(B15=0,"Break even","Loss"))</f>
        <v/>
      </c>
    </row>
    <row r="18" ht="31.5" customHeight="1">
      <c r="A18" s="7" t="inlineStr">
        <is>
          <t>Cups sold per week, x</t>
        </is>
      </c>
      <c r="B18" s="7" t="inlineStr">
        <is>
          <t>Cost, C ($)</t>
        </is>
      </c>
      <c r="C18" s="7" t="inlineStr">
        <is>
          <t>Revenue, R ($)</t>
        </is>
      </c>
      <c r="D18" s="7" t="inlineStr">
        <is>
          <t>Profit, P ($)</t>
        </is>
      </c>
      <c r="E18" s="7" t="inlineStr">
        <is>
          <t>Profit or loss?</t>
        </is>
      </c>
    </row>
    <row r="19">
      <c r="A19" s="6" t="n">
        <v>0</v>
      </c>
      <c r="B19" s="13">
        <f>$B$5+$B$6*A19</f>
        <v/>
      </c>
      <c r="C19" s="13">
        <f>$B$7*A19</f>
        <v/>
      </c>
      <c r="D19" s="13">
        <f>C19-B19</f>
        <v/>
      </c>
      <c r="E19" s="15">
        <f>IF(D19&gt;0,"Profit",IF(D19=0,"Break even","Loss"))</f>
        <v/>
      </c>
    </row>
    <row r="20">
      <c r="A20" s="6" t="n">
        <v>100</v>
      </c>
      <c r="B20" s="13">
        <f>$B$5+$B$6*A20</f>
        <v/>
      </c>
      <c r="C20" s="13">
        <f>$B$7*A20</f>
        <v/>
      </c>
      <c r="D20" s="13">
        <f>C20-B20</f>
        <v/>
      </c>
      <c r="E20" s="15">
        <f>IF(D20&gt;0,"Profit",IF(D20=0,"Break even","Loss"))</f>
        <v/>
      </c>
    </row>
    <row r="21">
      <c r="A21" s="6" t="n">
        <v>200</v>
      </c>
      <c r="B21" s="13">
        <f>$B$5+$B$6*A21</f>
        <v/>
      </c>
      <c r="C21" s="13">
        <f>$B$7*A21</f>
        <v/>
      </c>
      <c r="D21" s="13">
        <f>C21-B21</f>
        <v/>
      </c>
      <c r="E21" s="15">
        <f>IF(D21&gt;0,"Profit",IF(D21=0,"Break even","Loss"))</f>
        <v/>
      </c>
    </row>
    <row r="22">
      <c r="A22" s="6" t="n">
        <v>300</v>
      </c>
      <c r="B22" s="13">
        <f>$B$5+$B$6*A22</f>
        <v/>
      </c>
      <c r="C22" s="13">
        <f>$B$7*A22</f>
        <v/>
      </c>
      <c r="D22" s="13">
        <f>C22-B22</f>
        <v/>
      </c>
      <c r="E22" s="15">
        <f>IF(D22&gt;0,"Profit",IF(D22=0,"Break even","Loss"))</f>
        <v/>
      </c>
    </row>
    <row r="23">
      <c r="A23" s="6" t="n">
        <v>400</v>
      </c>
      <c r="B23" s="13">
        <f>$B$5+$B$6*A23</f>
        <v/>
      </c>
      <c r="C23" s="13">
        <f>$B$7*A23</f>
        <v/>
      </c>
      <c r="D23" s="13">
        <f>C23-B23</f>
        <v/>
      </c>
      <c r="E23" s="15">
        <f>IF(D23&gt;0,"Profit",IF(D23=0,"Break even","Loss"))</f>
        <v/>
      </c>
    </row>
    <row r="24">
      <c r="A24" s="6" t="n">
        <v>500</v>
      </c>
      <c r="B24" s="13">
        <f>$B$5+$B$6*A24</f>
        <v/>
      </c>
      <c r="C24" s="13">
        <f>$B$7*A24</f>
        <v/>
      </c>
      <c r="D24" s="13">
        <f>C24-B24</f>
        <v/>
      </c>
      <c r="E24" s="15">
        <f>IF(D24&gt;0,"Profit",IF(D24=0,"Break even","Loss"))</f>
        <v/>
      </c>
    </row>
    <row r="25">
      <c r="A25" s="6" t="n">
        <v>600</v>
      </c>
      <c r="B25" s="13">
        <f>$B$5+$B$6*A25</f>
        <v/>
      </c>
      <c r="C25" s="13">
        <f>$B$7*A25</f>
        <v/>
      </c>
      <c r="D25" s="13">
        <f>C25-B25</f>
        <v/>
      </c>
      <c r="E25" s="15">
        <f>IF(D25&gt;0,"Profit",IF(D25=0,"Break even","Loss"))</f>
        <v/>
      </c>
    </row>
    <row r="26">
      <c r="A26" s="6" t="n">
        <v>700</v>
      </c>
      <c r="B26" s="13">
        <f>$B$5+$B$6*A26</f>
        <v/>
      </c>
      <c r="C26" s="13">
        <f>$B$7*A26</f>
        <v/>
      </c>
      <c r="D26" s="13">
        <f>C26-B26</f>
        <v/>
      </c>
      <c r="E26" s="15">
        <f>IF(D26&gt;0,"Profit",IF(D26=0,"Break even","Loss"))</f>
        <v/>
      </c>
    </row>
    <row r="27">
      <c r="A27" s="6" t="n">
        <v>800</v>
      </c>
      <c r="B27" s="13">
        <f>$B$5+$B$6*A27</f>
        <v/>
      </c>
      <c r="C27" s="13">
        <f>$B$7*A27</f>
        <v/>
      </c>
      <c r="D27" s="13">
        <f>C27-B27</f>
        <v/>
      </c>
      <c r="E27" s="15">
        <f>IF(D27&gt;0,"Profit",IF(D27=0,"Break even","Loss"))</f>
        <v/>
      </c>
    </row>
    <row r="28">
      <c r="A28" s="6" t="n">
        <v>900</v>
      </c>
      <c r="B28" s="13">
        <f>$B$5+$B$6*A28</f>
        <v/>
      </c>
      <c r="C28" s="13">
        <f>$B$7*A28</f>
        <v/>
      </c>
      <c r="D28" s="13">
        <f>C28-B28</f>
        <v/>
      </c>
      <c r="E28" s="15">
        <f>IF(D28&gt;0,"Profit",IF(D28=0,"Break even","Loss"))</f>
        <v/>
      </c>
    </row>
    <row r="29">
      <c r="A29" s="6" t="n">
        <v>1000</v>
      </c>
      <c r="B29" s="13">
        <f>$B$5+$B$6*A29</f>
        <v/>
      </c>
      <c r="C29" s="13">
        <f>$B$7*A29</f>
        <v/>
      </c>
      <c r="D29" s="13">
        <f>C29-B29</f>
        <v/>
      </c>
      <c r="E29" s="15">
        <f>IF(D29&gt;0,"Profit",IF(D29=0,"Break even","Loss"))</f>
        <v/>
      </c>
    </row>
    <row r="31">
      <c r="H31" s="3" t="inlineStr">
        <is>
          <t>Try it</t>
        </is>
      </c>
    </row>
    <row r="32">
      <c r="H32" s="10" t="inlineStr">
        <is>
          <t>1. Use the table: what is the profit if the café sells 900 cups in a week?</t>
        </is>
      </c>
    </row>
    <row r="33">
      <c r="H33" s="10" t="inlineStr">
        <is>
          <t>2. Change the target profit to $1,500. How many cups must be sold?</t>
        </is>
      </c>
    </row>
    <row r="34">
      <c r="H34" s="10" t="inlineStr">
        <is>
          <t>3. What is the largest possible weekly loss? Where can you see it on the graph?</t>
        </is>
      </c>
    </row>
    <row r="35">
      <c r="H35" s="2" t="inlineStr">
        <is>
          <t>Set the target back to $800 when you finish.</t>
        </is>
      </c>
    </row>
  </sheetData>
  <mergeCells count="13">
    <mergeCell ref="H5:Q6"/>
    <mergeCell ref="H8:Q8"/>
    <mergeCell ref="H34:Q34"/>
    <mergeCell ref="H9:Q9"/>
    <mergeCell ref="H35:Q35"/>
    <mergeCell ref="A2:Q2"/>
    <mergeCell ref="H12:Q13"/>
    <mergeCell ref="H11:Q11"/>
    <mergeCell ref="H7:Q7"/>
    <mergeCell ref="H33:Q33"/>
    <mergeCell ref="A1:Q1"/>
    <mergeCell ref="H32:Q32"/>
    <mergeCell ref="H10:Q1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Q36"/>
  <sheetViews>
    <sheetView showGridLines="0" workbookViewId="0">
      <selection activeCell="A1" sqref="A1"/>
    </sheetView>
  </sheetViews>
  <sheetFormatPr baseColWidth="8" defaultRowHeight="15"/>
  <cols>
    <col width="42" customWidth="1" min="1" max="1"/>
    <col width="17" customWidth="1" min="2" max="2"/>
    <col width="17" customWidth="1" min="3" max="3"/>
    <col width="17" customWidth="1" min="4" max="4"/>
    <col width="17" customWidth="1" min="5" max="5"/>
    <col width="3" customWidth="1" min="6" max="6"/>
    <col width="3" customWidth="1" min="7" max="7"/>
    <col width="11" customWidth="1" min="8" max="8"/>
  </cols>
  <sheetData>
    <row r="1" ht="31.5" customHeight="1">
      <c r="A1" s="1" t="inlineStr">
        <is>
          <t>3   Changing the price</t>
        </is>
      </c>
    </row>
    <row r="2" ht="30" customHeight="1">
      <c r="A2" s="2" t="inlineStr">
        <is>
          <t>The café can only make so many cups a week. Which prices let it break even within that limit? Each row of the table tries a different price.</t>
        </is>
      </c>
    </row>
    <row r="4">
      <c r="A4" s="3" t="inlineStr">
        <is>
          <t>Inputs – change these</t>
        </is>
      </c>
      <c r="H4" s="3" t="inlineStr">
        <is>
          <t>How it works</t>
        </is>
      </c>
    </row>
    <row r="5">
      <c r="A5" s="4" t="inlineStr">
        <is>
          <t>Fixed costs per week, F ($)</t>
        </is>
      </c>
      <c r="B5" s="9" t="n">
        <v>1200</v>
      </c>
      <c r="H5" s="10" t="inlineStr">
        <is>
          <t>A higher price means more profit on each cup, so fewer cups are needed to break even.</t>
        </is>
      </c>
    </row>
    <row r="6">
      <c r="A6" s="4" t="inlineStr">
        <is>
          <t>Variable cost per cup, V ($)</t>
        </is>
      </c>
      <c r="B6" s="9" t="n">
        <v>1.4</v>
      </c>
      <c r="H6" s="11" t="inlineStr">
        <is>
          <t xml:space="preserve">    Break-even cups = F ÷ (p − V)          Cell C15:   =IF(B15&gt;0,$B$5/B15,"Never")</t>
        </is>
      </c>
    </row>
    <row r="7">
      <c r="A7" s="4" t="inlineStr">
        <is>
          <t>Most cups the café can make per week</t>
        </is>
      </c>
      <c r="B7" s="5" t="n">
        <v>600</v>
      </c>
      <c r="H7" s="10" t="inlineStr">
        <is>
          <t>If the price is not above the variable cost, every cup loses money and the café can never break even. The IF catches this case instead of dividing by zero.</t>
        </is>
      </c>
    </row>
    <row r="8"/>
    <row r="9">
      <c r="A9" s="3" t="inlineStr">
        <is>
          <t>Results</t>
        </is>
      </c>
      <c r="H9" s="10" t="inlineStr">
        <is>
          <t>Break-even cups = F ÷ (p − V) has the form y = k/x, a reciprocal relationship. Its graph is a hyperbola: each extra 50c on the price saves fewer cups than the 50c before it.</t>
        </is>
      </c>
    </row>
    <row r="10">
      <c r="A10" s="4" t="inlineStr">
        <is>
          <t>Lowest price in the table that breaks even within the limit ($)</t>
        </is>
      </c>
      <c r="B10" s="13">
        <f>IFERROR(INDEX(A15:A25,MATCH("Yes",E15:E25,0)),"None in the table")</f>
        <v/>
      </c>
    </row>
    <row r="11">
      <c r="H11" s="11" t="inlineStr">
        <is>
          <t xml:space="preserve">    Cell B10:   =IFERROR(INDEX(A15:A25,MATCH("Yes",E15:E25,0)),"None in the table")</t>
        </is>
      </c>
    </row>
    <row r="12">
      <c r="H12" s="10" t="inlineStr">
        <is>
          <t>MATCH finds the first Yes in column E, and INDEX returns the price in the same row.</t>
        </is>
      </c>
    </row>
    <row r="14" ht="31.5" customHeight="1">
      <c r="A14" s="7" t="inlineStr">
        <is>
          <t>Price per cup, p ($)</t>
        </is>
      </c>
      <c r="B14" s="7" t="inlineStr">
        <is>
          <t>Profit per cup, p − V ($)</t>
        </is>
      </c>
      <c r="C14" s="7" t="inlineStr">
        <is>
          <t>Break-even point (exact cups)</t>
        </is>
      </c>
      <c r="D14" s="7" t="inlineStr">
        <is>
          <t>Cups to break even</t>
        </is>
      </c>
      <c r="E14" s="7" t="inlineStr">
        <is>
          <t>Possible within the limit?</t>
        </is>
      </c>
    </row>
    <row r="15">
      <c r="A15" s="13" t="n">
        <v>2</v>
      </c>
      <c r="B15" s="13">
        <f>A15-$B$6</f>
        <v/>
      </c>
      <c r="C15" s="12">
        <f>IF(B15&gt;0,$B$5/B15,"Never")</f>
        <v/>
      </c>
      <c r="D15" s="6">
        <f>IF(B15&gt;0,ROUNDUP(C15,0),"Never")</f>
        <v/>
      </c>
      <c r="E15" s="15">
        <f>IF(B15&lt;=0,"No",IF(D15&lt;=$B$7,"Yes","No"))</f>
        <v/>
      </c>
    </row>
    <row r="16">
      <c r="A16" s="13" t="n">
        <v>2.5</v>
      </c>
      <c r="B16" s="13">
        <f>A16-$B$6</f>
        <v/>
      </c>
      <c r="C16" s="12">
        <f>IF(B16&gt;0,$B$5/B16,"Never")</f>
        <v/>
      </c>
      <c r="D16" s="6">
        <f>IF(B16&gt;0,ROUNDUP(C16,0),"Never")</f>
        <v/>
      </c>
      <c r="E16" s="15">
        <f>IF(B16&lt;=0,"No",IF(D16&lt;=$B$7,"Yes","No"))</f>
        <v/>
      </c>
    </row>
    <row r="17">
      <c r="A17" s="13" t="n">
        <v>3</v>
      </c>
      <c r="B17" s="13">
        <f>A17-$B$6</f>
        <v/>
      </c>
      <c r="C17" s="12">
        <f>IF(B17&gt;0,$B$5/B17,"Never")</f>
        <v/>
      </c>
      <c r="D17" s="6">
        <f>IF(B17&gt;0,ROUNDUP(C17,0),"Never")</f>
        <v/>
      </c>
      <c r="E17" s="15">
        <f>IF(B17&lt;=0,"No",IF(D17&lt;=$B$7,"Yes","No"))</f>
        <v/>
      </c>
    </row>
    <row r="18">
      <c r="A18" s="13" t="n">
        <v>3.5</v>
      </c>
      <c r="B18" s="13">
        <f>A18-$B$6</f>
        <v/>
      </c>
      <c r="C18" s="12">
        <f>IF(B18&gt;0,$B$5/B18,"Never")</f>
        <v/>
      </c>
      <c r="D18" s="6">
        <f>IF(B18&gt;0,ROUNDUP(C18,0),"Never")</f>
        <v/>
      </c>
      <c r="E18" s="15">
        <f>IF(B18&lt;=0,"No",IF(D18&lt;=$B$7,"Yes","No"))</f>
        <v/>
      </c>
    </row>
    <row r="19">
      <c r="A19" s="13" t="n">
        <v>4</v>
      </c>
      <c r="B19" s="13">
        <f>A19-$B$6</f>
        <v/>
      </c>
      <c r="C19" s="12">
        <f>IF(B19&gt;0,$B$5/B19,"Never")</f>
        <v/>
      </c>
      <c r="D19" s="6">
        <f>IF(B19&gt;0,ROUNDUP(C19,0),"Never")</f>
        <v/>
      </c>
      <c r="E19" s="15">
        <f>IF(B19&lt;=0,"No",IF(D19&lt;=$B$7,"Yes","No"))</f>
        <v/>
      </c>
    </row>
    <row r="20">
      <c r="A20" s="13" t="n">
        <v>4.5</v>
      </c>
      <c r="B20" s="13">
        <f>A20-$B$6</f>
        <v/>
      </c>
      <c r="C20" s="12">
        <f>IF(B20&gt;0,$B$5/B20,"Never")</f>
        <v/>
      </c>
      <c r="D20" s="6">
        <f>IF(B20&gt;0,ROUNDUP(C20,0),"Never")</f>
        <v/>
      </c>
      <c r="E20" s="15">
        <f>IF(B20&lt;=0,"No",IF(D20&lt;=$B$7,"Yes","No"))</f>
        <v/>
      </c>
    </row>
    <row r="21">
      <c r="A21" s="13" t="n">
        <v>5</v>
      </c>
      <c r="B21" s="13">
        <f>A21-$B$6</f>
        <v/>
      </c>
      <c r="C21" s="12">
        <f>IF(B21&gt;0,$B$5/B21,"Never")</f>
        <v/>
      </c>
      <c r="D21" s="6">
        <f>IF(B21&gt;0,ROUNDUP(C21,0),"Never")</f>
        <v/>
      </c>
      <c r="E21" s="15">
        <f>IF(B21&lt;=0,"No",IF(D21&lt;=$B$7,"Yes","No"))</f>
        <v/>
      </c>
    </row>
    <row r="22">
      <c r="A22" s="13" t="n">
        <v>5.5</v>
      </c>
      <c r="B22" s="13">
        <f>A22-$B$6</f>
        <v/>
      </c>
      <c r="C22" s="12">
        <f>IF(B22&gt;0,$B$5/B22,"Never")</f>
        <v/>
      </c>
      <c r="D22" s="6">
        <f>IF(B22&gt;0,ROUNDUP(C22,0),"Never")</f>
        <v/>
      </c>
      <c r="E22" s="15">
        <f>IF(B22&lt;=0,"No",IF(D22&lt;=$B$7,"Yes","No"))</f>
        <v/>
      </c>
    </row>
    <row r="23">
      <c r="A23" s="13" t="n">
        <v>6</v>
      </c>
      <c r="B23" s="13">
        <f>A23-$B$6</f>
        <v/>
      </c>
      <c r="C23" s="12">
        <f>IF(B23&gt;0,$B$5/B23,"Never")</f>
        <v/>
      </c>
      <c r="D23" s="6">
        <f>IF(B23&gt;0,ROUNDUP(C23,0),"Never")</f>
        <v/>
      </c>
      <c r="E23" s="15">
        <f>IF(B23&lt;=0,"No",IF(D23&lt;=$B$7,"Yes","No"))</f>
        <v/>
      </c>
    </row>
    <row r="24">
      <c r="A24" s="13" t="n">
        <v>6.5</v>
      </c>
      <c r="B24" s="13">
        <f>A24-$B$6</f>
        <v/>
      </c>
      <c r="C24" s="12">
        <f>IF(B24&gt;0,$B$5/B24,"Never")</f>
        <v/>
      </c>
      <c r="D24" s="6">
        <f>IF(B24&gt;0,ROUNDUP(C24,0),"Never")</f>
        <v/>
      </c>
      <c r="E24" s="15">
        <f>IF(B24&lt;=0,"No",IF(D24&lt;=$B$7,"Yes","No"))</f>
        <v/>
      </c>
    </row>
    <row r="25">
      <c r="A25" s="13" t="n">
        <v>7</v>
      </c>
      <c r="B25" s="13">
        <f>A25-$B$6</f>
        <v/>
      </c>
      <c r="C25" s="12">
        <f>IF(B25&gt;0,$B$5/B25,"Never")</f>
        <v/>
      </c>
      <c r="D25" s="6">
        <f>IF(B25&gt;0,ROUNDUP(C25,0),"Never")</f>
        <v/>
      </c>
      <c r="E25" s="15">
        <f>IF(B25&lt;=0,"No",IF(D25&lt;=$B$7,"Yes","No"))</f>
        <v/>
      </c>
    </row>
    <row r="30">
      <c r="H30" s="3" t="inlineStr">
        <is>
          <t>Try it</t>
        </is>
      </c>
    </row>
    <row r="31">
      <c r="H31" s="10" t="inlineStr">
        <is>
          <t>1. The café can only make 450 cups a week. What is the lowest price in the table that still breaks even?</t>
        </is>
      </c>
    </row>
    <row r="32"/>
    <row r="33">
      <c r="H33" s="10" t="inlineStr">
        <is>
          <t>2. Set the limit back to 600. The variable cost rises to $2.00. How many cups must be sold at $4.50 now?</t>
        </is>
      </c>
    </row>
    <row r="34"/>
    <row r="35">
      <c r="H35" s="10" t="inlineStr">
        <is>
          <t>3. Describe the shape of the graph. Why does it flatten out as the price increases?</t>
        </is>
      </c>
    </row>
    <row r="36">
      <c r="H36" s="2" t="inlineStr">
        <is>
          <t>Set the inputs back to $1,200, $1.40 and 600 cups when you finish.</t>
        </is>
      </c>
    </row>
  </sheetData>
  <mergeCells count="12">
    <mergeCell ref="H36:Q36"/>
    <mergeCell ref="H5:Q5"/>
    <mergeCell ref="H12:Q12"/>
    <mergeCell ref="H35:Q35"/>
    <mergeCell ref="A2:Q2"/>
    <mergeCell ref="H9:Q10"/>
    <mergeCell ref="H11:Q11"/>
    <mergeCell ref="H33:Q34"/>
    <mergeCell ref="H6:Q6"/>
    <mergeCell ref="H7:Q8"/>
    <mergeCell ref="A1:Q1"/>
    <mergeCell ref="H31:Q3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Q37"/>
  <sheetViews>
    <sheetView showGridLines="0" workbookViewId="0">
      <selection activeCell="A1" sqref="A1"/>
    </sheetView>
  </sheetViews>
  <sheetFormatPr baseColWidth="8" defaultRowHeight="15"/>
  <cols>
    <col width="42" customWidth="1" min="1" max="1"/>
    <col width="17" customWidth="1" min="2" max="2"/>
    <col width="17" customWidth="1" min="3" max="3"/>
    <col width="17" customWidth="1" min="4" max="4"/>
    <col width="17" customWidth="1" min="5" max="5"/>
    <col width="3" customWidth="1" min="6" max="6"/>
    <col width="3" customWidth="1" min="7" max="7"/>
    <col width="11" customWidth="1" min="8" max="8"/>
  </cols>
  <sheetData>
    <row r="1" ht="31.5" customHeight="1">
      <c r="A1" s="1" t="inlineStr">
        <is>
          <t>4   Simultaneous equations: comparing two taxi companies</t>
        </is>
      </c>
    </row>
    <row r="2" ht="30" customHeight="1">
      <c r="A2" s="2" t="inlineStr">
        <is>
          <t>Each company charges a flagfall (a fixed starting fee) plus a cost per kilometre. For what distance do they charge the same fare, and which one is cheaper for longer trips?</t>
        </is>
      </c>
    </row>
    <row r="4">
      <c r="A4" s="3" t="inlineStr">
        <is>
          <t>Inputs – change these</t>
        </is>
      </c>
      <c r="H4" s="3" t="inlineStr">
        <is>
          <t>How it works</t>
        </is>
      </c>
    </row>
    <row r="5">
      <c r="A5" s="4" t="inlineStr">
        <is>
          <t>Company A: flagfall, b1 ($)</t>
        </is>
      </c>
      <c r="B5" s="9" t="n">
        <v>4.5</v>
      </c>
      <c r="H5" s="10" t="inlineStr">
        <is>
          <t>Each fare is a linear equation: fare = flagfall + cost per km × distance.</t>
        </is>
      </c>
    </row>
    <row r="6">
      <c r="A6" s="4" t="inlineStr">
        <is>
          <t>Company A: cost per km, m1 ($)</t>
        </is>
      </c>
      <c r="B6" s="9" t="n">
        <v>2.1</v>
      </c>
      <c r="H6" s="11" t="inlineStr">
        <is>
          <t xml:space="preserve">    y = b1 + m1x   and   y = b2 + m2x          Cell B16:   =$B$5+$B$6*A16</t>
        </is>
      </c>
    </row>
    <row r="7">
      <c r="A7" s="4" t="inlineStr">
        <is>
          <t>Company B: flagfall, b2 ($)</t>
        </is>
      </c>
      <c r="B7" s="9" t="n">
        <v>7</v>
      </c>
      <c r="H7" s="10" t="inlineStr">
        <is>
          <t>Solving the pair of simultaneous equations finds the distance where both fares are equal. Set them equal and rearrange:</t>
        </is>
      </c>
    </row>
    <row r="8">
      <c r="A8" s="4" t="inlineStr">
        <is>
          <t>Company B: cost per km, m2 ($)</t>
        </is>
      </c>
      <c r="B8" s="9" t="n">
        <v>1.85</v>
      </c>
    </row>
    <row r="9">
      <c r="H9" s="11" t="inlineStr">
        <is>
          <t xml:space="preserve">    b1 + m1x = b2 + m2x   →   x = (b2 − b1) ÷ (m1 − m2)          Cell B11:   =(B7-B5)/(B6-B8)</t>
        </is>
      </c>
    </row>
    <row r="10">
      <c r="A10" s="3" t="inlineStr">
        <is>
          <t>Results</t>
        </is>
      </c>
      <c r="H10" s="10" t="inlineStr">
        <is>
          <t>In the table the solution is where column D changes from negative to positive. On the graph it is the point where the two lines intersect.</t>
        </is>
      </c>
    </row>
    <row r="11">
      <c r="A11" s="4" t="inlineStr">
        <is>
          <t>Distance where the fares are equal (km)</t>
        </is>
      </c>
      <c r="B11" s="12">
        <f>IF(B6=B8,"No solution",(B7-B5)/(B6-B8))</f>
        <v/>
      </c>
    </row>
    <row r="12">
      <c r="A12" s="4" t="inlineStr">
        <is>
          <t>Fare at that distance ($)</t>
        </is>
      </c>
      <c r="B12" s="13">
        <f>IF(ISNUMBER(B11),B5+B6*B11,"–")</f>
        <v/>
      </c>
      <c r="H12" s="10" t="inlineStr">
        <is>
          <t>If both companies charge the same amount per km, the lines are parallel and never meet, so there is no solution. The IF in B11 checks for this.</t>
        </is>
      </c>
    </row>
    <row r="13">
      <c r="A13" s="4" t="inlineStr">
        <is>
          <t>Cheaper for long trips</t>
        </is>
      </c>
      <c r="B13" s="14">
        <f>IF(B6&lt;B8,"Company A",IF(B6&gt;B8,"Company B","Neither"))</f>
        <v/>
      </c>
    </row>
    <row r="15" ht="31.5" customHeight="1">
      <c r="A15" s="7" t="inlineStr">
        <is>
          <t>Distance, x (km)</t>
        </is>
      </c>
      <c r="B15" s="7" t="inlineStr">
        <is>
          <t>Company A fare ($)</t>
        </is>
      </c>
      <c r="C15" s="7" t="inlineStr">
        <is>
          <t>Company B fare ($)</t>
        </is>
      </c>
      <c r="D15" s="7" t="inlineStr">
        <is>
          <t>A − B ($)</t>
        </is>
      </c>
      <c r="E15" s="7" t="inlineStr">
        <is>
          <t>Cheaper</t>
        </is>
      </c>
    </row>
    <row r="16">
      <c r="A16" s="6" t="n">
        <v>0</v>
      </c>
      <c r="B16" s="13">
        <f>$B$5+$B$6*A16</f>
        <v/>
      </c>
      <c r="C16" s="13">
        <f>$B$7+$B$8*A16</f>
        <v/>
      </c>
      <c r="D16" s="13">
        <f>B16-C16</f>
        <v/>
      </c>
      <c r="E16" s="15">
        <f>IF(B16&lt;C16,"A",IF(B16=C16,"Same","B"))</f>
        <v/>
      </c>
    </row>
    <row r="17">
      <c r="A17" s="6" t="n">
        <v>1</v>
      </c>
      <c r="B17" s="13">
        <f>$B$5+$B$6*A17</f>
        <v/>
      </c>
      <c r="C17" s="13">
        <f>$B$7+$B$8*A17</f>
        <v/>
      </c>
      <c r="D17" s="13">
        <f>B17-C17</f>
        <v/>
      </c>
      <c r="E17" s="15">
        <f>IF(B17&lt;C17,"A",IF(B17=C17,"Same","B"))</f>
        <v/>
      </c>
    </row>
    <row r="18">
      <c r="A18" s="6" t="n">
        <v>2</v>
      </c>
      <c r="B18" s="13">
        <f>$B$5+$B$6*A18</f>
        <v/>
      </c>
      <c r="C18" s="13">
        <f>$B$7+$B$8*A18</f>
        <v/>
      </c>
      <c r="D18" s="13">
        <f>B18-C18</f>
        <v/>
      </c>
      <c r="E18" s="15">
        <f>IF(B18&lt;C18,"A",IF(B18=C18,"Same","B"))</f>
        <v/>
      </c>
    </row>
    <row r="19">
      <c r="A19" s="6" t="n">
        <v>3</v>
      </c>
      <c r="B19" s="13">
        <f>$B$5+$B$6*A19</f>
        <v/>
      </c>
      <c r="C19" s="13">
        <f>$B$7+$B$8*A19</f>
        <v/>
      </c>
      <c r="D19" s="13">
        <f>B19-C19</f>
        <v/>
      </c>
      <c r="E19" s="15">
        <f>IF(B19&lt;C19,"A",IF(B19=C19,"Same","B"))</f>
        <v/>
      </c>
    </row>
    <row r="20">
      <c r="A20" s="6" t="n">
        <v>4</v>
      </c>
      <c r="B20" s="13">
        <f>$B$5+$B$6*A20</f>
        <v/>
      </c>
      <c r="C20" s="13">
        <f>$B$7+$B$8*A20</f>
        <v/>
      </c>
      <c r="D20" s="13">
        <f>B20-C20</f>
        <v/>
      </c>
      <c r="E20" s="15">
        <f>IF(B20&lt;C20,"A",IF(B20=C20,"Same","B"))</f>
        <v/>
      </c>
    </row>
    <row r="21">
      <c r="A21" s="6" t="n">
        <v>5</v>
      </c>
      <c r="B21" s="13">
        <f>$B$5+$B$6*A21</f>
        <v/>
      </c>
      <c r="C21" s="13">
        <f>$B$7+$B$8*A21</f>
        <v/>
      </c>
      <c r="D21" s="13">
        <f>B21-C21</f>
        <v/>
      </c>
      <c r="E21" s="15">
        <f>IF(B21&lt;C21,"A",IF(B21=C21,"Same","B"))</f>
        <v/>
      </c>
    </row>
    <row r="22">
      <c r="A22" s="6" t="n">
        <v>6</v>
      </c>
      <c r="B22" s="13">
        <f>$B$5+$B$6*A22</f>
        <v/>
      </c>
      <c r="C22" s="13">
        <f>$B$7+$B$8*A22</f>
        <v/>
      </c>
      <c r="D22" s="13">
        <f>B22-C22</f>
        <v/>
      </c>
      <c r="E22" s="15">
        <f>IF(B22&lt;C22,"A",IF(B22=C22,"Same","B"))</f>
        <v/>
      </c>
    </row>
    <row r="23">
      <c r="A23" s="6" t="n">
        <v>7</v>
      </c>
      <c r="B23" s="13">
        <f>$B$5+$B$6*A23</f>
        <v/>
      </c>
      <c r="C23" s="13">
        <f>$B$7+$B$8*A23</f>
        <v/>
      </c>
      <c r="D23" s="13">
        <f>B23-C23</f>
        <v/>
      </c>
      <c r="E23" s="15">
        <f>IF(B23&lt;C23,"A",IF(B23=C23,"Same","B"))</f>
        <v/>
      </c>
    </row>
    <row r="24">
      <c r="A24" s="6" t="n">
        <v>8</v>
      </c>
      <c r="B24" s="13">
        <f>$B$5+$B$6*A24</f>
        <v/>
      </c>
      <c r="C24" s="13">
        <f>$B$7+$B$8*A24</f>
        <v/>
      </c>
      <c r="D24" s="13">
        <f>B24-C24</f>
        <v/>
      </c>
      <c r="E24" s="15">
        <f>IF(B24&lt;C24,"A",IF(B24=C24,"Same","B"))</f>
        <v/>
      </c>
    </row>
    <row r="25">
      <c r="A25" s="6" t="n">
        <v>9</v>
      </c>
      <c r="B25" s="13">
        <f>$B$5+$B$6*A25</f>
        <v/>
      </c>
      <c r="C25" s="13">
        <f>$B$7+$B$8*A25</f>
        <v/>
      </c>
      <c r="D25" s="13">
        <f>B25-C25</f>
        <v/>
      </c>
      <c r="E25" s="15">
        <f>IF(B25&lt;C25,"A",IF(B25=C25,"Same","B"))</f>
        <v/>
      </c>
    </row>
    <row r="26">
      <c r="A26" s="6" t="n">
        <v>10</v>
      </c>
      <c r="B26" s="13">
        <f>$B$5+$B$6*A26</f>
        <v/>
      </c>
      <c r="C26" s="13">
        <f>$B$7+$B$8*A26</f>
        <v/>
      </c>
      <c r="D26" s="13">
        <f>B26-C26</f>
        <v/>
      </c>
      <c r="E26" s="15">
        <f>IF(B26&lt;C26,"A",IF(B26=C26,"Same","B"))</f>
        <v/>
      </c>
    </row>
    <row r="27">
      <c r="A27" s="6" t="n">
        <v>11</v>
      </c>
      <c r="B27" s="13">
        <f>$B$5+$B$6*A27</f>
        <v/>
      </c>
      <c r="C27" s="13">
        <f>$B$7+$B$8*A27</f>
        <v/>
      </c>
      <c r="D27" s="13">
        <f>B27-C27</f>
        <v/>
      </c>
      <c r="E27" s="15">
        <f>IF(B27&lt;C27,"A",IF(B27=C27,"Same","B"))</f>
        <v/>
      </c>
    </row>
    <row r="28">
      <c r="A28" s="6" t="n">
        <v>12</v>
      </c>
      <c r="B28" s="13">
        <f>$B$5+$B$6*A28</f>
        <v/>
      </c>
      <c r="C28" s="13">
        <f>$B$7+$B$8*A28</f>
        <v/>
      </c>
      <c r="D28" s="13">
        <f>B28-C28</f>
        <v/>
      </c>
      <c r="E28" s="15">
        <f>IF(B28&lt;C28,"A",IF(B28=C28,"Same","B"))</f>
        <v/>
      </c>
    </row>
    <row r="29">
      <c r="A29" s="6" t="n">
        <v>13</v>
      </c>
      <c r="B29" s="13">
        <f>$B$5+$B$6*A29</f>
        <v/>
      </c>
      <c r="C29" s="13">
        <f>$B$7+$B$8*A29</f>
        <v/>
      </c>
      <c r="D29" s="13">
        <f>B29-C29</f>
        <v/>
      </c>
      <c r="E29" s="15">
        <f>IF(B29&lt;C29,"A",IF(B29=C29,"Same","B"))</f>
        <v/>
      </c>
    </row>
    <row r="30">
      <c r="A30" s="6" t="n">
        <v>14</v>
      </c>
      <c r="B30" s="13">
        <f>$B$5+$B$6*A30</f>
        <v/>
      </c>
      <c r="C30" s="13">
        <f>$B$7+$B$8*A30</f>
        <v/>
      </c>
      <c r="D30" s="13">
        <f>B30-C30</f>
        <v/>
      </c>
      <c r="E30" s="15">
        <f>IF(B30&lt;C30,"A",IF(B30=C30,"Same","B"))</f>
        <v/>
      </c>
    </row>
    <row r="31">
      <c r="A31" s="6" t="n">
        <v>15</v>
      </c>
      <c r="B31" s="13">
        <f>$B$5+$B$6*A31</f>
        <v/>
      </c>
      <c r="C31" s="13">
        <f>$B$7+$B$8*A31</f>
        <v/>
      </c>
      <c r="D31" s="13">
        <f>B31-C31</f>
        <v/>
      </c>
      <c r="E31" s="15">
        <f>IF(B31&lt;C31,"A",IF(B31=C31,"Same","B"))</f>
        <v/>
      </c>
      <c r="H31" s="3" t="inlineStr">
        <is>
          <t>Try it</t>
        </is>
      </c>
    </row>
    <row r="32">
      <c r="A32" s="6" t="n">
        <v>16</v>
      </c>
      <c r="B32" s="13">
        <f>$B$5+$B$6*A32</f>
        <v/>
      </c>
      <c r="C32" s="13">
        <f>$B$7+$B$8*A32</f>
        <v/>
      </c>
      <c r="D32" s="13">
        <f>B32-C32</f>
        <v/>
      </c>
      <c r="E32" s="15">
        <f>IF(B32&lt;C32,"A",IF(B32=C32,"Same","B"))</f>
        <v/>
      </c>
      <c r="H32" s="10" t="inlineStr">
        <is>
          <t>1. Change Company B's flagfall to $8.00. At what distance are the fares now equal, and what is the fare?</t>
        </is>
      </c>
    </row>
    <row r="33">
      <c r="A33" s="6" t="n">
        <v>17</v>
      </c>
      <c r="B33" s="13">
        <f>$B$5+$B$6*A33</f>
        <v/>
      </c>
      <c r="C33" s="13">
        <f>$B$7+$B$8*A33</f>
        <v/>
      </c>
      <c r="D33" s="13">
        <f>B33-C33</f>
        <v/>
      </c>
      <c r="E33" s="15">
        <f>IF(B33&lt;C33,"A",IF(B33=C33,"Same","B"))</f>
        <v/>
      </c>
    </row>
    <row r="34">
      <c r="A34" s="6" t="n">
        <v>18</v>
      </c>
      <c r="B34" s="13">
        <f>$B$5+$B$6*A34</f>
        <v/>
      </c>
      <c r="C34" s="13">
        <f>$B$7+$B$8*A34</f>
        <v/>
      </c>
      <c r="D34" s="13">
        <f>B34-C34</f>
        <v/>
      </c>
      <c r="E34" s="15">
        <f>IF(B34&lt;C34,"A",IF(B34=C34,"Same","B"))</f>
        <v/>
      </c>
      <c r="H34" s="10" t="inlineStr">
        <is>
          <t>2. Set it back to $7.00. Which company is cheaper for a 6 km trip, and by how much?</t>
        </is>
      </c>
    </row>
    <row r="35">
      <c r="A35" s="6" t="n">
        <v>19</v>
      </c>
      <c r="B35" s="13">
        <f>$B$5+$B$6*A35</f>
        <v/>
      </c>
      <c r="C35" s="13">
        <f>$B$7+$B$8*A35</f>
        <v/>
      </c>
      <c r="D35" s="13">
        <f>B35-C35</f>
        <v/>
      </c>
      <c r="E35" s="15">
        <f>IF(B35&lt;C35,"A",IF(B35=C35,"Same","B"))</f>
        <v/>
      </c>
      <c r="H35" s="10" t="inlineStr">
        <is>
          <t>3. Change Company B's cost per km to $2.10. What happens to the graph and to cell B11? Explain why.</t>
        </is>
      </c>
    </row>
    <row r="36">
      <c r="A36" s="6" t="n">
        <v>20</v>
      </c>
      <c r="B36" s="13">
        <f>$B$5+$B$6*A36</f>
        <v/>
      </c>
      <c r="C36" s="13">
        <f>$B$7+$B$8*A36</f>
        <v/>
      </c>
      <c r="D36" s="13">
        <f>B36-C36</f>
        <v/>
      </c>
      <c r="E36" s="15">
        <f>IF(B36&lt;C36,"A",IF(B36=C36,"Same","B"))</f>
        <v/>
      </c>
    </row>
    <row r="37">
      <c r="H37" s="2" t="inlineStr">
        <is>
          <t>Set the inputs back to $4.50, $2.10, $7.00 and $1.85 when you finish.</t>
        </is>
      </c>
    </row>
  </sheetData>
  <mergeCells count="12">
    <mergeCell ref="H10:Q11"/>
    <mergeCell ref="H5:Q5"/>
    <mergeCell ref="H37:Q37"/>
    <mergeCell ref="H35:Q36"/>
    <mergeCell ref="H34:Q34"/>
    <mergeCell ref="H9:Q9"/>
    <mergeCell ref="A2:Q2"/>
    <mergeCell ref="H12:Q13"/>
    <mergeCell ref="H32:Q33"/>
    <mergeCell ref="H6:Q6"/>
    <mergeCell ref="H7:Q8"/>
    <mergeCell ref="A1:Q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26" customWidth="1" min="1" max="1"/>
    <col width="8" customWidth="1" min="2" max="2"/>
    <col width="120" customWidth="1" min="3" max="3"/>
  </cols>
  <sheetData>
    <row r="1" ht="31.5" customHeight="1">
      <c r="A1" s="1" t="inlineStr">
        <is>
          <t>Try it – answers</t>
        </is>
      </c>
    </row>
    <row r="2" ht="30" customHeight="1">
      <c r="A2" s="2" t="inlineStr">
        <is>
          <t>Have a go at each task before you look. Answers assume all other inputs are at their starting values.</t>
        </is>
      </c>
    </row>
    <row r="4" ht="15" customHeight="1">
      <c r="A4" s="7" t="inlineStr">
        <is>
          <t>Tab</t>
        </is>
      </c>
      <c r="B4" s="7" t="inlineStr">
        <is>
          <t>Task</t>
        </is>
      </c>
      <c r="C4" s="7" t="inlineStr">
        <is>
          <t>Answer</t>
        </is>
      </c>
    </row>
    <row r="5" ht="15" customHeight="1">
      <c r="A5" s="16" t="inlineStr">
        <is>
          <t>1 Cost and revenue</t>
        </is>
      </c>
      <c r="B5" s="17" t="n">
        <v>1</v>
      </c>
      <c r="C5" s="10" t="inlineStr">
        <is>
          <t>333.33 cups exactly, so 334 cups (it was 388 at $4.50). A higher price means more profit per cup, so fewer cups are needed.</t>
        </is>
      </c>
    </row>
    <row r="6" ht="15" customHeight="1">
      <c r="A6" s="16" t="inlineStr">
        <is>
          <t>1 Cost and revenue</t>
        </is>
      </c>
      <c r="B6" s="17" t="n">
        <v>2</v>
      </c>
      <c r="C6" s="10" t="inlineStr">
        <is>
          <t>483.87 cups exactly, so 484 cups. Higher fixed costs take more cups to pay off.</t>
        </is>
      </c>
    </row>
    <row r="7" ht="30" customHeight="1">
      <c r="A7" s="16" t="inlineStr">
        <is>
          <t>1 Cost and revenue</t>
        </is>
      </c>
      <c r="B7" s="17" t="n">
        <v>3</v>
      </c>
      <c r="C7" s="10" t="inlineStr">
        <is>
          <t>To the right of the crossing point the revenue line is above the cost line. The vertical gap between them is the profit. To the left, cost is above revenue and the gap is a loss.</t>
        </is>
      </c>
    </row>
    <row r="8" ht="15" customHeight="1">
      <c r="A8" s="16" t="inlineStr">
        <is>
          <t>2 Profit and loss</t>
        </is>
      </c>
      <c r="B8" s="17" t="n">
        <v>1</v>
      </c>
      <c r="C8" s="10" t="inlineStr">
        <is>
          <t>$1,590.00 profit (revenue $4,050.00 − cost $2,460.00).</t>
        </is>
      </c>
    </row>
    <row r="9" ht="15" customHeight="1">
      <c r="A9" s="16" t="inlineStr">
        <is>
          <t>2 Profit and loss</t>
        </is>
      </c>
      <c r="B9" s="17" t="n">
        <v>2</v>
      </c>
      <c r="C9" s="10" t="inlineStr">
        <is>
          <t>(1200 + 1500) ÷ 3.10 = 870.97, so 871 cups.</t>
        </is>
      </c>
    </row>
    <row r="10" ht="30" customHeight="1">
      <c r="A10" s="16" t="inlineStr">
        <is>
          <t>2 Profit and loss</t>
        </is>
      </c>
      <c r="B10" s="17" t="n">
        <v>3</v>
      </c>
      <c r="C10" s="10" t="inlineStr">
        <is>
          <t>$1,200.00, when no cups are sold – the café still pays its fixed costs. It is where the profit line meets the vertical axis (the y-intercept is −1200).</t>
        </is>
      </c>
    </row>
    <row r="11" ht="15" customHeight="1">
      <c r="A11" s="16" t="inlineStr">
        <is>
          <t>3 Changing the price</t>
        </is>
      </c>
      <c r="B11" s="17" t="n">
        <v>1</v>
      </c>
      <c r="C11" s="10" t="inlineStr">
        <is>
          <t>$4.50 (break-even 388 cups). At $4.00 it would take 462 cups, which is over the limit.</t>
        </is>
      </c>
    </row>
    <row r="12" ht="15" customHeight="1">
      <c r="A12" s="16" t="inlineStr">
        <is>
          <t>3 Changing the price</t>
        </is>
      </c>
      <c r="B12" s="17" t="n">
        <v>2</v>
      </c>
      <c r="C12" s="10" t="inlineStr">
        <is>
          <t>1200 ÷ (4.50 − 2.00) = 480 cups (it was 388 cups).</t>
        </is>
      </c>
    </row>
    <row r="13" ht="30" customHeight="1">
      <c r="A13" s="16" t="inlineStr">
        <is>
          <t>3 Changing the price</t>
        </is>
      </c>
      <c r="B13" s="17" t="n">
        <v>3</v>
      </c>
      <c r="C13" s="10" t="inlineStr">
        <is>
          <t>It is a decreasing curve (part of a hyperbola). Going from $2.00 to $2.50 saves over 900 cups, but going from $6.50 to $7.00 saves fewer than 20. The more profit each cup already makes, the less difference another 50c makes.</t>
        </is>
      </c>
    </row>
    <row r="14" ht="15" customHeight="1">
      <c r="A14" s="16" t="inlineStr">
        <is>
          <t>4 Simultaneous equations</t>
        </is>
      </c>
      <c r="B14" s="17" t="n">
        <v>1</v>
      </c>
      <c r="C14" s="10" t="inlineStr">
        <is>
          <t>14 km, where both fares are $33.90. (It was 10 km and $25.50.)</t>
        </is>
      </c>
    </row>
    <row r="15" ht="15" customHeight="1">
      <c r="A15" s="16" t="inlineStr">
        <is>
          <t>4 Simultaneous equations</t>
        </is>
      </c>
      <c r="B15" s="17" t="n">
        <v>2</v>
      </c>
      <c r="C15" s="10" t="inlineStr">
        <is>
          <t>Company A: $17.10. Company B: $18.10. Company A is cheaper by $1.00.</t>
        </is>
      </c>
    </row>
    <row r="16" ht="30" customHeight="1">
      <c r="A16" s="16" t="inlineStr">
        <is>
          <t>4 Simultaneous equations</t>
        </is>
      </c>
      <c r="B16" s="17" t="n">
        <v>3</v>
      </c>
      <c r="C16" s="10" t="inlineStr">
        <is>
          <t>The two lines become parallel (same gradient), so they never cross and B11 shows "No solution". Company A is always $2.50 cheaper, because its flagfall is $2.50 lower and both charge the same per km.</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2026-10-17T21:06:46Z</dcterms:created>
  <dcterms:modified xsi:type="dcterms:W3CDTF">2026-10-17T21:06:46Z</dcterms:modified>
</cp:coreProperties>
</file>