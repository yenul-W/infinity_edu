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sk 1 Festival" sheetId="2" state="visible" r:id="rId2"/>
    <sheet name="Task 2 Solar farm" sheetId="3" state="visible" r:id="rId3"/>
    <sheet name="Task 3 T-shirts" sheetId="4" state="visible" r:id="rId4"/>
    <sheet name="Task 4 Gy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1F4E5F"/>
      <sz val="11"/>
    </font>
    <font>
      <name val="Arial"/>
      <sz val="10"/>
    </font>
    <font>
      <name val="Arial"/>
      <b val="1"/>
      <color rgb="001F4E5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A8"/>
      </patternFill>
    </fill>
    <fill>
      <patternFill patternType="solid">
        <fgColor rgb="00DDEBF7"/>
      </patternFill>
    </fill>
    <fill>
      <patternFill patternType="solid">
        <fgColor rgb="00D9E7EC"/>
      </patternFill>
    </fill>
  </fills>
  <borders count="9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pivotButton="0" quotePrefix="0" xfId="0"/>
    <xf numFmtId="0" fontId="4" fillId="0" borderId="0" pivotButton="0" quotePrefix="0" xfId="0"/>
    <xf numFmtId="164" fontId="4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2" fontId="4" fillId="3" borderId="1" pivotButton="0" quotePrefix="0" xfId="0"/>
    <xf numFmtId="1" fontId="4" fillId="3" borderId="1" pivotButton="0" quotePrefix="0" xfId="0"/>
    <xf numFmtId="0" fontId="6" fillId="0" borderId="0" applyAlignment="1" pivotButton="0" quotePrefix="0" xfId="0">
      <alignment vertical="top" wrapText="1"/>
    </xf>
    <xf numFmtId="1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" fontId="4" fillId="4" borderId="1" pivotButton="0" quotePrefix="0" xfId="0"/>
    <xf numFmtId="0" fontId="4" fillId="0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 ht="31.5" customHeight="1">
      <c r="A1" s="1" t="inlineStr">
        <is>
          <t>Break-even and Simultaneous Equations – Spreadsheet Homework</t>
        </is>
      </c>
    </row>
    <row r="2" ht="30" customHeight="1">
      <c r="A2" s="2" t="inlineStr">
        <is>
          <t>Four tasks. In each one you build the spreadsheet model yourself, then use it to answer the questions.</t>
        </is>
      </c>
    </row>
    <row r="4">
      <c r="A4" s="3" t="inlineStr">
        <is>
          <t>Colour key</t>
        </is>
      </c>
    </row>
    <row r="5">
      <c r="A5" s="4" t="n"/>
      <c r="B5" s="5" t="inlineStr">
        <is>
          <t>Yellow = your work. Type a formula or a written answer here.</t>
        </is>
      </c>
    </row>
    <row r="6">
      <c r="A6" s="6" t="n">
        <v>1000</v>
      </c>
      <c r="B6" s="5" t="inlineStr">
        <is>
          <t>Blue = given information. Only change it when a question tells you to, then change it back.</t>
        </is>
      </c>
    </row>
    <row r="9">
      <c r="A9" s="3" t="inlineStr">
        <is>
          <t>The tasks</t>
        </is>
      </c>
    </row>
    <row r="10" ht="15" customHeight="1">
      <c r="A10" s="7" t="inlineStr">
        <is>
          <t>Tab</t>
        </is>
      </c>
      <c r="B10" s="7" t="inlineStr">
        <is>
          <t>Context</t>
        </is>
      </c>
      <c r="C10" s="7" t="inlineStr">
        <is>
          <t>What you practise</t>
        </is>
      </c>
    </row>
    <row r="11">
      <c r="A11" s="5" t="inlineStr">
        <is>
          <t>Task 1 Festival</t>
        </is>
      </c>
      <c r="B11" s="5" t="inlineStr">
        <is>
          <t>A community cultural festival</t>
        </is>
      </c>
      <c r="C11" s="5" t="inlineStr">
        <is>
          <t>Cost, revenue and profit tables; break-even point; line chart</t>
        </is>
      </c>
    </row>
    <row r="12">
      <c r="A12" s="5" t="inlineStr">
        <is>
          <t>Task 2 Solar farm</t>
        </is>
      </c>
      <c r="B12" s="5" t="inlineStr">
        <is>
          <t>A community solar farm selling electricity</t>
        </is>
      </c>
      <c r="C12" s="5" t="inlineStr">
        <is>
          <t>Break-even analysis; profit and loss with IF; what-if questions</t>
        </is>
      </c>
    </row>
    <row r="13">
      <c r="A13" s="5" t="inlineStr">
        <is>
          <t>Task 3 T-shirts</t>
        </is>
      </c>
      <c r="B13" s="5" t="inlineStr">
        <is>
          <t>Pricing T-shirts for a printing business</t>
        </is>
      </c>
      <c r="C13" s="5" t="inlineStr">
        <is>
          <t>How price changes the break-even point; INDEX and MATCH</t>
        </is>
      </c>
    </row>
    <row r="14">
      <c r="A14" s="5" t="inlineStr">
        <is>
          <t>Task 4 Gyms</t>
        </is>
      </c>
      <c r="B14" s="5" t="inlineStr">
        <is>
          <t>Choosing between two gym memberships</t>
        </is>
      </c>
      <c r="C14" s="5" t="inlineStr">
        <is>
          <t>Solving simultaneous linear equations with a spreadsheet</t>
        </is>
      </c>
    </row>
    <row r="16">
      <c r="A16" s="3" t="inlineStr">
        <is>
          <t>Rules for a good spreadsheet model</t>
        </is>
      </c>
    </row>
    <row r="17">
      <c r="A17" s="5" t="inlineStr">
        <is>
          <t xml:space="preserve">   1.  Every yellow table cell must contain a formula starting with =, not a typed number.</t>
        </is>
      </c>
    </row>
    <row r="18">
      <c r="A18" s="5" t="inlineStr">
        <is>
          <t xml:space="preserve">   2.  Formulas must use cell references (such as $B$5) for the given values, so the model updates when a value changes.</t>
        </is>
      </c>
    </row>
    <row r="19">
      <c r="A19" s="5" t="inlineStr">
        <is>
          <t xml:space="preserve">   3.  Use $ signs to lock a reference before you fill a formula down or across.</t>
        </is>
      </c>
    </row>
    <row r="20">
      <c r="A20" s="5" t="inlineStr">
        <is>
          <t xml:space="preserve">   4.  Use the check figures on each tab to test your formulas before you answer the questions.</t>
        </is>
      </c>
    </row>
    <row r="21">
      <c r="A21" s="5" t="inlineStr">
        <is>
          <t xml:space="preserve">   5.  Every chart needs a title and axis titles, and a legend if it shows more than one series. Place charts to the right of the questions.</t>
        </is>
      </c>
    </row>
    <row r="22">
      <c r="A22" s="5" t="inlineStr">
        <is>
          <t xml:space="preserve">   6.  Written answers should include the numbers from your spreadsheet that support them.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1   A community cultural festival: break-even</t>
        </is>
      </c>
    </row>
    <row r="2" ht="30" customHeight="1">
      <c r="A2" s="2" t="inlineStr">
        <is>
          <t>A community group is running a one-day cultural festival. It pays for the venue, performers and sound system no matter how many people come, plus food and a wristband for every person who attends. Tickets cost $22.</t>
        </is>
      </c>
    </row>
    <row r="4">
      <c r="A4" s="3" t="inlineStr">
        <is>
          <t>Given information</t>
        </is>
      </c>
      <c r="G4" s="3" t="inlineStr">
        <is>
          <t>What to do</t>
        </is>
      </c>
    </row>
    <row r="5">
      <c r="A5" s="5" t="inlineStr">
        <is>
          <t>Fixed costs: venue, performers, sound ($)</t>
        </is>
      </c>
      <c r="B5" s="6" t="n">
        <v>9600</v>
      </c>
      <c r="G5" s="8" t="inlineStr">
        <is>
          <t>1. Row 0 is done for you. In B16, write a formula for the total cost when 100 people attend. Use the given cells with $ signs, not typed numbers.</t>
        </is>
      </c>
    </row>
    <row r="6">
      <c r="A6" s="5" t="inlineStr">
        <is>
          <t>Cost per person attending ($)</t>
        </is>
      </c>
      <c r="B6" s="6" t="n">
        <v>6.5</v>
      </c>
    </row>
    <row r="7">
      <c r="A7" s="5" t="inlineStr">
        <is>
          <t>Ticket price ($)</t>
        </is>
      </c>
      <c r="B7" s="6" t="n">
        <v>22</v>
      </c>
      <c r="G7" s="8" t="inlineStr">
        <is>
          <t>2. In C16, write a formula for the revenue, and in D16 the profit (revenue − cost).</t>
        </is>
      </c>
    </row>
    <row r="8"/>
    <row r="9">
      <c r="A9" s="3" t="inlineStr">
        <is>
          <t>Your calculations</t>
        </is>
      </c>
      <c r="G9" s="8" t="inlineStr">
        <is>
          <t>3. Fill all three formulas down to 1,000 people.</t>
        </is>
      </c>
    </row>
    <row r="10">
      <c r="A10" s="5" t="inlineStr">
        <is>
          <t>Break-even point (exact number of people)</t>
        </is>
      </c>
      <c r="B10" s="9" t="n"/>
      <c r="G10" s="8" t="inlineStr">
        <is>
          <t>4. In B10 and B11, use formulas to find the break-even point: first the exact value, then rounded up to a whole number of people.</t>
        </is>
      </c>
    </row>
    <row r="11">
      <c r="A11" s="5" t="inlineStr">
        <is>
          <t>People needed to break even</t>
        </is>
      </c>
      <c r="B11" s="10" t="n"/>
    </row>
    <row r="12">
      <c r="G12" s="11" t="inlineStr">
        <is>
          <t>Check: at 1,000 people the cost should be $16,100.00, the revenue $22,000.00 and the profit $5,900.00.</t>
        </is>
      </c>
    </row>
    <row r="13">
      <c r="A13" s="3" t="inlineStr">
        <is>
          <t>Your table</t>
        </is>
      </c>
    </row>
    <row r="14" ht="31.5" customHeight="1">
      <c r="A14" s="7" t="inlineStr">
        <is>
          <t>People attending</t>
        </is>
      </c>
      <c r="B14" s="7" t="inlineStr">
        <is>
          <t>Cost ($)</t>
        </is>
      </c>
      <c r="C14" s="7" t="inlineStr">
        <is>
          <t>Revenue ($)</t>
        </is>
      </c>
      <c r="D14" s="7" t="inlineStr">
        <is>
          <t>Profit ($)</t>
        </is>
      </c>
    </row>
    <row r="15">
      <c r="A15" s="12" t="n">
        <v>0</v>
      </c>
      <c r="B15" s="13">
        <f>$B$5+$B$6*A15</f>
        <v/>
      </c>
      <c r="C15" s="13">
        <f>$B$7*A15</f>
        <v/>
      </c>
      <c r="D15" s="13">
        <f>C15-B15</f>
        <v/>
      </c>
      <c r="G15" s="3" t="inlineStr">
        <is>
          <t>Questions – type your answers in the yellow boxes</t>
        </is>
      </c>
    </row>
    <row r="16">
      <c r="A16" s="12" t="n">
        <v>100</v>
      </c>
      <c r="B16" s="14" t="n"/>
      <c r="C16" s="14" t="n"/>
      <c r="D16" s="14" t="n"/>
      <c r="G16" s="11" t="inlineStr">
        <is>
          <t>Q1.  How many people must attend for the festival to break even? Why do you round up, not to the nearest whole number?</t>
        </is>
      </c>
    </row>
    <row r="17">
      <c r="A17" s="12" t="n">
        <v>200</v>
      </c>
      <c r="B17" s="14" t="n"/>
      <c r="C17" s="14" t="n"/>
      <c r="D17" s="14" t="n"/>
    </row>
    <row r="18">
      <c r="A18" s="12" t="n">
        <v>300</v>
      </c>
      <c r="B18" s="14" t="n"/>
      <c r="C18" s="14" t="n"/>
      <c r="D18" s="14" t="n"/>
      <c r="G18" s="15" t="n"/>
      <c r="H18" s="16" t="n"/>
      <c r="I18" s="16" t="n"/>
      <c r="J18" s="16" t="n"/>
      <c r="K18" s="16" t="n"/>
      <c r="L18" s="16" t="n"/>
      <c r="M18" s="16" t="n"/>
      <c r="N18" s="17" t="n"/>
    </row>
    <row r="19">
      <c r="A19" s="12" t="n">
        <v>400</v>
      </c>
      <c r="B19" s="14" t="n"/>
      <c r="C19" s="14" t="n"/>
      <c r="D19" s="14" t="n"/>
      <c r="G19" s="18" t="n"/>
      <c r="N19" s="19" t="n"/>
    </row>
    <row r="20">
      <c r="A20" s="12" t="n">
        <v>500</v>
      </c>
      <c r="B20" s="14" t="n"/>
      <c r="C20" s="14" t="n"/>
      <c r="D20" s="14" t="n"/>
      <c r="G20" s="20" t="n"/>
      <c r="H20" s="21" t="n"/>
      <c r="I20" s="21" t="n"/>
      <c r="J20" s="21" t="n"/>
      <c r="K20" s="21" t="n"/>
      <c r="L20" s="21" t="n"/>
      <c r="M20" s="21" t="n"/>
      <c r="N20" s="22" t="n"/>
    </row>
    <row r="21">
      <c r="A21" s="12" t="n">
        <v>600</v>
      </c>
      <c r="B21" s="14" t="n"/>
      <c r="C21" s="14" t="n"/>
      <c r="D21" s="14" t="n"/>
    </row>
    <row r="22">
      <c r="A22" s="12" t="n">
        <v>700</v>
      </c>
      <c r="B22" s="14" t="n"/>
      <c r="C22" s="14" t="n"/>
      <c r="D22" s="14" t="n"/>
      <c r="G22" s="11" t="inlineStr">
        <is>
          <t>Q2.  What is the profit or loss if 450 people attend?</t>
        </is>
      </c>
    </row>
    <row r="23">
      <c r="A23" s="12" t="n">
        <v>800</v>
      </c>
      <c r="B23" s="14" t="n"/>
      <c r="C23" s="14" t="n"/>
      <c r="D23" s="14" t="n"/>
      <c r="G23" s="15" t="n"/>
      <c r="H23" s="16" t="n"/>
      <c r="I23" s="16" t="n"/>
      <c r="J23" s="16" t="n"/>
      <c r="K23" s="16" t="n"/>
      <c r="L23" s="16" t="n"/>
      <c r="M23" s="16" t="n"/>
      <c r="N23" s="17" t="n"/>
    </row>
    <row r="24">
      <c r="A24" s="12" t="n">
        <v>900</v>
      </c>
      <c r="B24" s="14" t="n"/>
      <c r="C24" s="14" t="n"/>
      <c r="D24" s="14" t="n"/>
      <c r="G24" s="18" t="n"/>
      <c r="N24" s="19" t="n"/>
    </row>
    <row r="25">
      <c r="A25" s="12" t="n">
        <v>1000</v>
      </c>
      <c r="B25" s="14" t="n"/>
      <c r="C25" s="14" t="n"/>
      <c r="D25" s="14" t="n"/>
      <c r="G25" s="20" t="n"/>
      <c r="H25" s="21" t="n"/>
      <c r="I25" s="21" t="n"/>
      <c r="J25" s="21" t="n"/>
      <c r="K25" s="21" t="n"/>
      <c r="L25" s="21" t="n"/>
      <c r="M25" s="21" t="n"/>
      <c r="N25" s="22" t="n"/>
    </row>
    <row r="27">
      <c r="G27" s="11" t="inlineStr">
        <is>
          <t>Q3.  Insert a line chart showing cost and revenue against the number of people. Describe where the break-even point is on your chart.</t>
        </is>
      </c>
    </row>
    <row r="28"/>
    <row r="29">
      <c r="G29" s="15" t="n"/>
      <c r="H29" s="16" t="n"/>
      <c r="I29" s="16" t="n"/>
      <c r="J29" s="16" t="n"/>
      <c r="K29" s="16" t="n"/>
      <c r="L29" s="16" t="n"/>
      <c r="M29" s="16" t="n"/>
      <c r="N29" s="17" t="n"/>
    </row>
    <row r="30">
      <c r="G30" s="18" t="n"/>
      <c r="N30" s="19" t="n"/>
    </row>
    <row r="31">
      <c r="G31" s="20" t="n"/>
      <c r="H31" s="21" t="n"/>
      <c r="I31" s="21" t="n"/>
      <c r="J31" s="21" t="n"/>
      <c r="K31" s="21" t="n"/>
      <c r="L31" s="21" t="n"/>
      <c r="M31" s="21" t="n"/>
      <c r="N31" s="22" t="n"/>
    </row>
    <row r="33">
      <c r="G33" s="11" t="inlineStr">
        <is>
          <t>Q4.  The organisers expect 800 people and want a profit of at least $5,000. Will they get it? What ticket price would they need?</t>
        </is>
      </c>
    </row>
    <row r="34"/>
    <row r="35">
      <c r="G35" s="15" t="n"/>
      <c r="H35" s="16" t="n"/>
      <c r="I35" s="16" t="n"/>
      <c r="J35" s="16" t="n"/>
      <c r="K35" s="16" t="n"/>
      <c r="L35" s="16" t="n"/>
      <c r="M35" s="16" t="n"/>
      <c r="N35" s="17" t="n"/>
    </row>
    <row r="36">
      <c r="G36" s="18" t="n"/>
      <c r="N36" s="19" t="n"/>
    </row>
    <row r="37">
      <c r="G37" s="20" t="n"/>
      <c r="H37" s="21" t="n"/>
      <c r="I37" s="21" t="n"/>
      <c r="J37" s="21" t="n"/>
      <c r="K37" s="21" t="n"/>
      <c r="L37" s="21" t="n"/>
      <c r="M37" s="21" t="n"/>
      <c r="N37" s="22" t="n"/>
    </row>
  </sheetData>
  <mergeCells count="15">
    <mergeCell ref="G27:N28"/>
    <mergeCell ref="G33:N34"/>
    <mergeCell ref="G35:N37"/>
    <mergeCell ref="G12:N13"/>
    <mergeCell ref="G7:N8"/>
    <mergeCell ref="A2:N2"/>
    <mergeCell ref="G29:N31"/>
    <mergeCell ref="G22:N22"/>
    <mergeCell ref="G16:N17"/>
    <mergeCell ref="G23:N25"/>
    <mergeCell ref="G10:N11"/>
    <mergeCell ref="G18:N20"/>
    <mergeCell ref="G9:N9"/>
    <mergeCell ref="G5:N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2   A community solar farm</t>
        </is>
      </c>
    </row>
    <row r="2" ht="30" customHeight="1">
      <c r="A2" s="2" t="inlineStr">
        <is>
          <t>A town has built a community solar farm. Each year it pays fixed costs (loan repayments, insurance and a maintenance contract) plus a running cost for every megawatt-hour (MWh) it generates. It sells the electricity to the grid.</t>
        </is>
      </c>
    </row>
    <row r="4">
      <c r="A4" s="3" t="inlineStr">
        <is>
          <t>Given information</t>
        </is>
      </c>
      <c r="G4" s="3" t="inlineStr">
        <is>
          <t>What to do</t>
        </is>
      </c>
    </row>
    <row r="5">
      <c r="A5" s="5" t="inlineStr">
        <is>
          <t>Fixed costs per year ($)</t>
        </is>
      </c>
      <c r="B5" s="6" t="n">
        <v>84000</v>
      </c>
      <c r="G5" s="8" t="inlineStr">
        <is>
          <t>1. Row 0 is done for you. Write formulas for cost, revenue and profit in row 18, then fill them down to 2,000 MWh.</t>
        </is>
      </c>
    </row>
    <row r="6">
      <c r="A6" s="5" t="inlineStr">
        <is>
          <t>Running cost per MWh ($)</t>
        </is>
      </c>
      <c r="B6" s="6" t="n">
        <v>18</v>
      </c>
    </row>
    <row r="7">
      <c r="A7" s="5" t="inlineStr">
        <is>
          <t>Selling price per MWh ($)</t>
        </is>
      </c>
      <c r="B7" s="6" t="n">
        <v>95</v>
      </c>
      <c r="G7" s="8" t="inlineStr">
        <is>
          <t>2. In E18, use IF to show "Profit", "Break even" or "Loss". Look at row 0 to see how. Fill it down.</t>
        </is>
      </c>
    </row>
    <row r="8">
      <c r="A8" s="5" t="inlineStr">
        <is>
          <t>Expected output this year (MWh)</t>
        </is>
      </c>
      <c r="B8" s="23" t="n">
        <v>1650</v>
      </c>
    </row>
    <row r="9">
      <c r="G9" s="8" t="inlineStr">
        <is>
          <t>3. In B11 to B13, use formulas to find the break-even point (exact, then rounded up) and the profit at the expected output.</t>
        </is>
      </c>
    </row>
    <row r="10">
      <c r="A10" s="3" t="inlineStr">
        <is>
          <t>Your calculations</t>
        </is>
      </c>
    </row>
    <row r="11">
      <c r="A11" s="5" t="inlineStr">
        <is>
          <t>Break-even point (exact MWh)</t>
        </is>
      </c>
      <c r="B11" s="9" t="n"/>
      <c r="G11" s="11" t="inlineStr">
        <is>
          <t>Check: at 2,000 MWh the cost should be $120,000.00, the revenue $190,000.00 and the profit $70,000.00.</t>
        </is>
      </c>
    </row>
    <row r="12">
      <c r="A12" s="5" t="inlineStr">
        <is>
          <t>MWh needed to break even</t>
        </is>
      </c>
      <c r="B12" s="10" t="n"/>
    </row>
    <row r="13">
      <c r="A13" s="5" t="inlineStr">
        <is>
          <t>Profit at the expected output ($)</t>
        </is>
      </c>
      <c r="B13" s="14" t="n"/>
    </row>
    <row r="14">
      <c r="G14" s="3" t="inlineStr">
        <is>
          <t>Questions – type your answers in the yellow boxes</t>
        </is>
      </c>
    </row>
    <row r="15">
      <c r="A15" s="3" t="inlineStr">
        <is>
          <t>Your table</t>
        </is>
      </c>
      <c r="G15" s="11" t="inlineStr">
        <is>
          <t>Q1.  How many MWh must the farm generate each year to break even?</t>
        </is>
      </c>
    </row>
    <row r="16" ht="31.5" customHeight="1">
      <c r="A16" s="7" t="inlineStr">
        <is>
          <t>Output (MWh)</t>
        </is>
      </c>
      <c r="B16" s="7" t="inlineStr">
        <is>
          <t>Cost ($)</t>
        </is>
      </c>
      <c r="C16" s="7" t="inlineStr">
        <is>
          <t>Revenue ($)</t>
        </is>
      </c>
      <c r="D16" s="7" t="inlineStr">
        <is>
          <t>Profit ($)</t>
        </is>
      </c>
      <c r="E16" s="7" t="inlineStr">
        <is>
          <t>Profit or loss?</t>
        </is>
      </c>
      <c r="G16" s="15" t="n"/>
      <c r="H16" s="16" t="n"/>
      <c r="I16" s="16" t="n"/>
      <c r="J16" s="16" t="n"/>
      <c r="K16" s="16" t="n"/>
      <c r="L16" s="16" t="n"/>
      <c r="M16" s="16" t="n"/>
      <c r="N16" s="17" t="n"/>
    </row>
    <row r="17">
      <c r="A17" s="12" t="n">
        <v>0</v>
      </c>
      <c r="B17" s="13">
        <f>$B$5+$B$6*A17</f>
        <v/>
      </c>
      <c r="C17" s="13">
        <f>$B$7*A17</f>
        <v/>
      </c>
      <c r="D17" s="13">
        <f>C17-B17</f>
        <v/>
      </c>
      <c r="E17" s="24">
        <f>IF(D17&gt;0,"Profit",IF(D17=0,"Break even","Loss"))</f>
        <v/>
      </c>
      <c r="G17" s="18" t="n"/>
      <c r="N17" s="19" t="n"/>
    </row>
    <row r="18">
      <c r="A18" s="12" t="n">
        <v>200</v>
      </c>
      <c r="B18" s="14" t="n"/>
      <c r="C18" s="14" t="n"/>
      <c r="D18" s="14" t="n"/>
      <c r="E18" s="4" t="n"/>
      <c r="G18" s="20" t="n"/>
      <c r="H18" s="21" t="n"/>
      <c r="I18" s="21" t="n"/>
      <c r="J18" s="21" t="n"/>
      <c r="K18" s="21" t="n"/>
      <c r="L18" s="21" t="n"/>
      <c r="M18" s="21" t="n"/>
      <c r="N18" s="22" t="n"/>
    </row>
    <row r="19">
      <c r="A19" s="12" t="n">
        <v>400</v>
      </c>
      <c r="B19" s="14" t="n"/>
      <c r="C19" s="14" t="n"/>
      <c r="D19" s="14" t="n"/>
      <c r="E19" s="4" t="n"/>
    </row>
    <row r="20">
      <c r="A20" s="12" t="n">
        <v>600</v>
      </c>
      <c r="B20" s="14" t="n"/>
      <c r="C20" s="14" t="n"/>
      <c r="D20" s="14" t="n"/>
      <c r="E20" s="4" t="n"/>
      <c r="G20" s="11" t="inlineStr">
        <is>
          <t>Q2.  What profit does the farm make at its expected output of 1,650 MWh?</t>
        </is>
      </c>
    </row>
    <row r="21">
      <c r="A21" s="12" t="n">
        <v>800</v>
      </c>
      <c r="B21" s="14" t="n"/>
      <c r="C21" s="14" t="n"/>
      <c r="D21" s="14" t="n"/>
      <c r="E21" s="4" t="n"/>
      <c r="G21" s="15" t="n"/>
      <c r="H21" s="16" t="n"/>
      <c r="I21" s="16" t="n"/>
      <c r="J21" s="16" t="n"/>
      <c r="K21" s="16" t="n"/>
      <c r="L21" s="16" t="n"/>
      <c r="M21" s="16" t="n"/>
      <c r="N21" s="17" t="n"/>
    </row>
    <row r="22">
      <c r="A22" s="12" t="n">
        <v>1000</v>
      </c>
      <c r="B22" s="14" t="n"/>
      <c r="C22" s="14" t="n"/>
      <c r="D22" s="14" t="n"/>
      <c r="E22" s="4" t="n"/>
      <c r="G22" s="18" t="n"/>
      <c r="N22" s="19" t="n"/>
    </row>
    <row r="23">
      <c r="A23" s="12" t="n">
        <v>1200</v>
      </c>
      <c r="B23" s="14" t="n"/>
      <c r="C23" s="14" t="n"/>
      <c r="D23" s="14" t="n"/>
      <c r="E23" s="4" t="n"/>
      <c r="G23" s="20" t="n"/>
      <c r="H23" s="21" t="n"/>
      <c r="I23" s="21" t="n"/>
      <c r="J23" s="21" t="n"/>
      <c r="K23" s="21" t="n"/>
      <c r="L23" s="21" t="n"/>
      <c r="M23" s="21" t="n"/>
      <c r="N23" s="22" t="n"/>
    </row>
    <row r="24">
      <c r="A24" s="12" t="n">
        <v>1400</v>
      </c>
      <c r="B24" s="14" t="n"/>
      <c r="C24" s="14" t="n"/>
      <c r="D24" s="14" t="n"/>
      <c r="E24" s="4" t="n"/>
    </row>
    <row r="25">
      <c r="A25" s="12" t="n">
        <v>1600</v>
      </c>
      <c r="B25" s="14" t="n"/>
      <c r="C25" s="14" t="n"/>
      <c r="D25" s="14" t="n"/>
      <c r="E25" s="4" t="n"/>
      <c r="G25" s="11" t="inlineStr">
        <is>
          <t>Q3.  Electricity prices fall to $70 per MWh. Change B7 (then change it back). What is the new break-even point? Does the farm still make a profit at 1,650 MWh?</t>
        </is>
      </c>
    </row>
    <row r="26">
      <c r="A26" s="12" t="n">
        <v>1800</v>
      </c>
      <c r="B26" s="14" t="n"/>
      <c r="C26" s="14" t="n"/>
      <c r="D26" s="14" t="n"/>
      <c r="E26" s="4" t="n"/>
    </row>
    <row r="27">
      <c r="A27" s="12" t="n">
        <v>2000</v>
      </c>
      <c r="B27" s="14" t="n"/>
      <c r="C27" s="14" t="n"/>
      <c r="D27" s="14" t="n"/>
      <c r="E27" s="4" t="n"/>
      <c r="G27" s="15" t="n"/>
      <c r="H27" s="16" t="n"/>
      <c r="I27" s="16" t="n"/>
      <c r="J27" s="16" t="n"/>
      <c r="K27" s="16" t="n"/>
      <c r="L27" s="16" t="n"/>
      <c r="M27" s="16" t="n"/>
      <c r="N27" s="17" t="n"/>
    </row>
    <row r="28">
      <c r="G28" s="18" t="n"/>
      <c r="N28" s="19" t="n"/>
    </row>
    <row r="29">
      <c r="G29" s="20" t="n"/>
      <c r="H29" s="21" t="n"/>
      <c r="I29" s="21" t="n"/>
      <c r="J29" s="21" t="n"/>
      <c r="K29" s="21" t="n"/>
      <c r="L29" s="21" t="n"/>
      <c r="M29" s="21" t="n"/>
      <c r="N29" s="22" t="n"/>
    </row>
    <row r="31">
      <c r="G31" s="11" t="inlineStr">
        <is>
          <t>Q4.  Insert a line chart of profit against output. Where does the line cross the horizontal axis, and what does that point mean?</t>
        </is>
      </c>
    </row>
    <row r="32"/>
    <row r="33">
      <c r="G33" s="15" t="n"/>
      <c r="H33" s="16" t="n"/>
      <c r="I33" s="16" t="n"/>
      <c r="J33" s="16" t="n"/>
      <c r="K33" s="16" t="n"/>
      <c r="L33" s="16" t="n"/>
      <c r="M33" s="16" t="n"/>
      <c r="N33" s="17" t="n"/>
    </row>
    <row r="34">
      <c r="G34" s="18" t="n"/>
      <c r="N34" s="19" t="n"/>
    </row>
    <row r="35">
      <c r="G35" s="20" t="n"/>
      <c r="H35" s="21" t="n"/>
      <c r="I35" s="21" t="n"/>
      <c r="J35" s="21" t="n"/>
      <c r="K35" s="21" t="n"/>
      <c r="L35" s="21" t="n"/>
      <c r="M35" s="21" t="n"/>
      <c r="N35" s="22" t="n"/>
    </row>
  </sheetData>
  <mergeCells count="14">
    <mergeCell ref="G21:N23"/>
    <mergeCell ref="G20:N20"/>
    <mergeCell ref="G16:N18"/>
    <mergeCell ref="G7:N8"/>
    <mergeCell ref="A2:N2"/>
    <mergeCell ref="G15:N15"/>
    <mergeCell ref="G31:N32"/>
    <mergeCell ref="G11:N12"/>
    <mergeCell ref="G25:N26"/>
    <mergeCell ref="G33:N35"/>
    <mergeCell ref="G27:N29"/>
    <mergeCell ref="G5:N6"/>
    <mergeCell ref="G9:N10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3   Pricing T-shirts</t>
        </is>
      </c>
    </row>
    <row r="2" ht="30" customHeight="1">
      <c r="A2" s="2" t="inlineStr">
        <is>
          <t>A small business prints custom T-shirts. Each month it pays fixed costs (rent and screen set-up) plus the cost of each blank shirt and ink. It can print at most 300 shirts a month. What price should it charge?</t>
        </is>
      </c>
    </row>
    <row r="4">
      <c r="A4" s="3" t="inlineStr">
        <is>
          <t>Given information</t>
        </is>
      </c>
      <c r="G4" s="3" t="inlineStr">
        <is>
          <t>What to do</t>
        </is>
      </c>
    </row>
    <row r="5">
      <c r="A5" s="5" t="inlineStr">
        <is>
          <t>Fixed costs per month ($)</t>
        </is>
      </c>
      <c r="B5" s="6" t="n">
        <v>2400</v>
      </c>
      <c r="G5" s="8" t="inlineStr">
        <is>
          <t>1. The first row ($12) is done for you. Fill its formulas down to $30.</t>
        </is>
      </c>
    </row>
    <row r="6">
      <c r="A6" s="5" t="inlineStr">
        <is>
          <t>Cost per shirt ($)</t>
        </is>
      </c>
      <c r="B6" s="6" t="n">
        <v>9.5</v>
      </c>
      <c r="G6" s="8" t="inlineStr">
        <is>
          <t>2. Read the formula in E11. It compares the shirts needed with the limit in B7.</t>
        </is>
      </c>
    </row>
    <row r="7">
      <c r="A7" s="5" t="inlineStr">
        <is>
          <t>Most shirts it can print per month</t>
        </is>
      </c>
      <c r="B7" s="23" t="n">
        <v>300</v>
      </c>
      <c r="G7" s="8" t="inlineStr">
        <is>
          <t>3. In B23, use INDEX and MATCH to find the lowest price in the table that shows "Yes". Hint: =INDEX(A11:A20,MATCH("Yes",E11:E20,0))</t>
        </is>
      </c>
    </row>
    <row r="8"/>
    <row r="9">
      <c r="A9" s="3" t="inlineStr">
        <is>
          <t>Your table</t>
        </is>
      </c>
      <c r="G9" s="11" t="inlineStr">
        <is>
          <t>Check: at $30 per shirt the business needs 118 shirts to break even.</t>
        </is>
      </c>
    </row>
    <row r="10" ht="31.5" customHeight="1">
      <c r="A10" s="7" t="inlineStr">
        <is>
          <t>Price per shirt ($)</t>
        </is>
      </c>
      <c r="B10" s="7" t="inlineStr">
        <is>
          <t>Profit per shirt ($)</t>
        </is>
      </c>
      <c r="C10" s="7" t="inlineStr">
        <is>
          <t>Break-even point (exact shirts)</t>
        </is>
      </c>
      <c r="D10" s="7" t="inlineStr">
        <is>
          <t>Shirts to break even</t>
        </is>
      </c>
      <c r="E10" s="7" t="inlineStr">
        <is>
          <t>Possible within the limit?</t>
        </is>
      </c>
    </row>
    <row r="11">
      <c r="A11" s="13" t="n">
        <v>12</v>
      </c>
      <c r="B11" s="13">
        <f>A11-$B$6</f>
        <v/>
      </c>
      <c r="C11" s="25">
        <f>$B$5/B11</f>
        <v/>
      </c>
      <c r="D11" s="12">
        <f>ROUNDUP(C11,0)</f>
        <v/>
      </c>
      <c r="E11" s="24">
        <f>IF(D11&lt;=$B$7,"Yes","No")</f>
        <v/>
      </c>
      <c r="G11" s="3" t="inlineStr">
        <is>
          <t>Questions – type your answers in the yellow boxes</t>
        </is>
      </c>
    </row>
    <row r="12">
      <c r="A12" s="13" t="n">
        <v>14</v>
      </c>
      <c r="B12" s="14" t="n"/>
      <c r="C12" s="9" t="n"/>
      <c r="D12" s="10" t="n"/>
      <c r="E12" s="4" t="n"/>
      <c r="G12" s="11" t="inlineStr">
        <is>
          <t>Q1.  What is the lowest price in the table that lets the business break even within its limit of 300 shirts?</t>
        </is>
      </c>
    </row>
    <row r="13">
      <c r="A13" s="13" t="n">
        <v>16</v>
      </c>
      <c r="B13" s="14" t="n"/>
      <c r="C13" s="9" t="n"/>
      <c r="D13" s="10" t="n"/>
      <c r="E13" s="4" t="n"/>
    </row>
    <row r="14">
      <c r="A14" s="13" t="n">
        <v>18</v>
      </c>
      <c r="B14" s="14" t="n"/>
      <c r="C14" s="9" t="n"/>
      <c r="D14" s="10" t="n"/>
      <c r="E14" s="4" t="n"/>
      <c r="G14" s="15" t="n"/>
      <c r="H14" s="16" t="n"/>
      <c r="I14" s="16" t="n"/>
      <c r="J14" s="16" t="n"/>
      <c r="K14" s="16" t="n"/>
      <c r="L14" s="16" t="n"/>
      <c r="M14" s="16" t="n"/>
      <c r="N14" s="17" t="n"/>
    </row>
    <row r="15">
      <c r="A15" s="13" t="n">
        <v>20</v>
      </c>
      <c r="B15" s="14" t="n"/>
      <c r="C15" s="9" t="n"/>
      <c r="D15" s="10" t="n"/>
      <c r="E15" s="4" t="n"/>
      <c r="G15" s="18" t="n"/>
      <c r="N15" s="19" t="n"/>
    </row>
    <row r="16">
      <c r="A16" s="13" t="n">
        <v>22</v>
      </c>
      <c r="B16" s="14" t="n"/>
      <c r="C16" s="9" t="n"/>
      <c r="D16" s="10" t="n"/>
      <c r="E16" s="4" t="n"/>
      <c r="G16" s="20" t="n"/>
      <c r="H16" s="21" t="n"/>
      <c r="I16" s="21" t="n"/>
      <c r="J16" s="21" t="n"/>
      <c r="K16" s="21" t="n"/>
      <c r="L16" s="21" t="n"/>
      <c r="M16" s="21" t="n"/>
      <c r="N16" s="22" t="n"/>
    </row>
    <row r="17">
      <c r="A17" s="13" t="n">
        <v>24</v>
      </c>
      <c r="B17" s="14" t="n"/>
      <c r="C17" s="9" t="n"/>
      <c r="D17" s="10" t="n"/>
      <c r="E17" s="4" t="n"/>
    </row>
    <row r="18">
      <c r="A18" s="13" t="n">
        <v>26</v>
      </c>
      <c r="B18" s="14" t="n"/>
      <c r="C18" s="9" t="n"/>
      <c r="D18" s="10" t="n"/>
      <c r="E18" s="4" t="n"/>
      <c r="G18" s="11" t="inlineStr">
        <is>
          <t>Q2.  The business charges $24 per shirt and sells 250 shirts in a month. What is its profit?</t>
        </is>
      </c>
    </row>
    <row r="19">
      <c r="A19" s="13" t="n">
        <v>28</v>
      </c>
      <c r="B19" s="14" t="n"/>
      <c r="C19" s="9" t="n"/>
      <c r="D19" s="10" t="n"/>
      <c r="E19" s="4" t="n"/>
    </row>
    <row r="20">
      <c r="A20" s="13" t="n">
        <v>30</v>
      </c>
      <c r="B20" s="14" t="n"/>
      <c r="C20" s="9" t="n"/>
      <c r="D20" s="10" t="n"/>
      <c r="E20" s="4" t="n"/>
      <c r="G20" s="15" t="n"/>
      <c r="H20" s="16" t="n"/>
      <c r="I20" s="16" t="n"/>
      <c r="J20" s="16" t="n"/>
      <c r="K20" s="16" t="n"/>
      <c r="L20" s="16" t="n"/>
      <c r="M20" s="16" t="n"/>
      <c r="N20" s="17" t="n"/>
    </row>
    <row r="21">
      <c r="G21" s="18" t="n"/>
      <c r="N21" s="19" t="n"/>
    </row>
    <row r="22">
      <c r="A22" s="3" t="inlineStr">
        <is>
          <t>Your calculations</t>
        </is>
      </c>
      <c r="G22" s="20" t="n"/>
      <c r="H22" s="21" t="n"/>
      <c r="I22" s="21" t="n"/>
      <c r="J22" s="21" t="n"/>
      <c r="K22" s="21" t="n"/>
      <c r="L22" s="21" t="n"/>
      <c r="M22" s="21" t="n"/>
      <c r="N22" s="22" t="n"/>
    </row>
    <row r="23">
      <c r="A23" s="5" t="inlineStr">
        <is>
          <t>Lowest price in the table that breaks even within the limit ($)</t>
        </is>
      </c>
      <c r="B23" s="14" t="n"/>
    </row>
    <row r="24">
      <c r="G24" s="11" t="inlineStr">
        <is>
          <t>Q3.  Insert a line chart of shirts needed to break even against price. Describe its shape and explain why it is not a straight line.</t>
        </is>
      </c>
    </row>
    <row r="25"/>
    <row r="26">
      <c r="G26" s="15" t="n"/>
      <c r="H26" s="16" t="n"/>
      <c r="I26" s="16" t="n"/>
      <c r="J26" s="16" t="n"/>
      <c r="K26" s="16" t="n"/>
      <c r="L26" s="16" t="n"/>
      <c r="M26" s="16" t="n"/>
      <c r="N26" s="17" t="n"/>
    </row>
    <row r="27">
      <c r="G27" s="18" t="n"/>
      <c r="N27" s="19" t="n"/>
    </row>
    <row r="28">
      <c r="G28" s="20" t="n"/>
      <c r="H28" s="21" t="n"/>
      <c r="I28" s="21" t="n"/>
      <c r="J28" s="21" t="n"/>
      <c r="K28" s="21" t="n"/>
      <c r="L28" s="21" t="n"/>
      <c r="M28" s="21" t="n"/>
      <c r="N28" s="22" t="n"/>
    </row>
    <row r="30">
      <c r="G30" s="11" t="inlineStr">
        <is>
          <t>Q4.  The cost per shirt rises to $11. Change B6 (then change it back). Which prices in the table now break even within the limit?</t>
        </is>
      </c>
    </row>
    <row r="31"/>
    <row r="32">
      <c r="G32" s="15" t="n"/>
      <c r="H32" s="16" t="n"/>
      <c r="I32" s="16" t="n"/>
      <c r="J32" s="16" t="n"/>
      <c r="K32" s="16" t="n"/>
      <c r="L32" s="16" t="n"/>
      <c r="M32" s="16" t="n"/>
      <c r="N32" s="17" t="n"/>
    </row>
    <row r="33">
      <c r="G33" s="18" t="n"/>
      <c r="N33" s="19" t="n"/>
    </row>
    <row r="34">
      <c r="G34" s="20" t="n"/>
      <c r="H34" s="21" t="n"/>
      <c r="I34" s="21" t="n"/>
      <c r="J34" s="21" t="n"/>
      <c r="K34" s="21" t="n"/>
      <c r="L34" s="21" t="n"/>
      <c r="M34" s="21" t="n"/>
      <c r="N34" s="22" t="n"/>
    </row>
  </sheetData>
  <mergeCells count="14">
    <mergeCell ref="G12:N13"/>
    <mergeCell ref="G20:N22"/>
    <mergeCell ref="G32:N34"/>
    <mergeCell ref="G7:N8"/>
    <mergeCell ref="A2:N2"/>
    <mergeCell ref="G14:N16"/>
    <mergeCell ref="G24:N25"/>
    <mergeCell ref="G18:N19"/>
    <mergeCell ref="G6:N6"/>
    <mergeCell ref="G5:N5"/>
    <mergeCell ref="G9:N9"/>
    <mergeCell ref="G26:N28"/>
    <mergeCell ref="G30:N31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4   Choosing a gym: simultaneous equations</t>
        </is>
      </c>
    </row>
    <row r="2" ht="30" customHeight="1">
      <c r="A2" s="2" t="inlineStr">
        <is>
          <t>Gym A charges a $99 joining fee and then $12 a week. Gym B has no joining fee but charges $15.50 a week. How long do you need to stay before Gym A works out cheaper?</t>
        </is>
      </c>
    </row>
    <row r="4">
      <c r="A4" s="3" t="inlineStr">
        <is>
          <t>Given information</t>
        </is>
      </c>
      <c r="G4" s="3" t="inlineStr">
        <is>
          <t>What to do</t>
        </is>
      </c>
    </row>
    <row r="5">
      <c r="A5" s="5" t="inlineStr">
        <is>
          <t>Gym A: joining fee ($)</t>
        </is>
      </c>
      <c r="B5" s="6" t="n">
        <v>99</v>
      </c>
      <c r="G5" s="8" t="inlineStr">
        <is>
          <t>1. Row 0 is done for you. Fill the formulas in row 16 down to 52 weeks.</t>
        </is>
      </c>
    </row>
    <row r="6">
      <c r="A6" s="5" t="inlineStr">
        <is>
          <t>Gym A: cost per week ($)</t>
        </is>
      </c>
      <c r="B6" s="6" t="n">
        <v>12</v>
      </c>
      <c r="G6" s="8" t="inlineStr">
        <is>
          <t>2. In B11, solve the two equations simultaneously with a formula: weeks = (b2 − b1) ÷ (m1 − m2).</t>
        </is>
      </c>
    </row>
    <row r="7">
      <c r="A7" s="5" t="inlineStr">
        <is>
          <t>Gym B: joining fee ($)</t>
        </is>
      </c>
      <c r="B7" s="6" t="n">
        <v>0</v>
      </c>
    </row>
    <row r="8">
      <c r="A8" s="5" t="inlineStr">
        <is>
          <t>Gym B: cost per week ($)</t>
        </is>
      </c>
      <c r="B8" s="6" t="n">
        <v>15.5</v>
      </c>
      <c r="G8" s="8" t="inlineStr">
        <is>
          <t>3. In B12, find the cost at that number of weeks.</t>
        </is>
      </c>
    </row>
    <row r="9">
      <c r="G9" s="11" t="inlineStr">
        <is>
          <t>Check: at 52 weeks Gym A should cost $723.00 and Gym B $806.00.</t>
        </is>
      </c>
    </row>
    <row r="10">
      <c r="A10" s="3" t="inlineStr">
        <is>
          <t>Your calculations</t>
        </is>
      </c>
    </row>
    <row r="11">
      <c r="A11" s="5" t="inlineStr">
        <is>
          <t>Weeks when the costs are equal (exact)</t>
        </is>
      </c>
      <c r="B11" s="9" t="n"/>
      <c r="G11" s="3" t="inlineStr">
        <is>
          <t>Questions – type your answers in the yellow boxes</t>
        </is>
      </c>
    </row>
    <row r="12">
      <c r="A12" s="5" t="inlineStr">
        <is>
          <t>Cost at that point ($)</t>
        </is>
      </c>
      <c r="B12" s="14" t="n"/>
      <c r="G12" s="11" t="inlineStr">
        <is>
          <t>Q1.  Write an equation for the cost of each gym after w weeks. Use your calculation cells to solve them simultaneously.</t>
        </is>
      </c>
    </row>
    <row r="13"/>
    <row r="14">
      <c r="A14" s="3" t="inlineStr">
        <is>
          <t>Your table</t>
        </is>
      </c>
      <c r="G14" s="15" t="n"/>
      <c r="H14" s="16" t="n"/>
      <c r="I14" s="16" t="n"/>
      <c r="J14" s="16" t="n"/>
      <c r="K14" s="16" t="n"/>
      <c r="L14" s="16" t="n"/>
      <c r="M14" s="16" t="n"/>
      <c r="N14" s="17" t="n"/>
    </row>
    <row r="15" ht="31.5" customHeight="1">
      <c r="A15" s="7" t="inlineStr">
        <is>
          <t>Weeks, w</t>
        </is>
      </c>
      <c r="B15" s="7" t="inlineStr">
        <is>
          <t>Gym A total cost ($)</t>
        </is>
      </c>
      <c r="C15" s="7" t="inlineStr">
        <is>
          <t>Gym B total cost ($)</t>
        </is>
      </c>
      <c r="D15" s="7" t="inlineStr">
        <is>
          <t>Cheaper</t>
        </is>
      </c>
      <c r="G15" s="18" t="n"/>
      <c r="N15" s="19" t="n"/>
    </row>
    <row r="16">
      <c r="A16" s="12" t="n">
        <v>0</v>
      </c>
      <c r="B16" s="13">
        <f>$B$5+$B$6*A16</f>
        <v/>
      </c>
      <c r="C16" s="13">
        <f>$B$7+$B$8*A16</f>
        <v/>
      </c>
      <c r="D16" s="24">
        <f>IF(B16&lt;C16,"Gym A",IF(B16=C16,"Same","Gym B"))</f>
        <v/>
      </c>
      <c r="G16" s="20" t="n"/>
      <c r="H16" s="21" t="n"/>
      <c r="I16" s="21" t="n"/>
      <c r="J16" s="21" t="n"/>
      <c r="K16" s="21" t="n"/>
      <c r="L16" s="21" t="n"/>
      <c r="M16" s="21" t="n"/>
      <c r="N16" s="22" t="n"/>
    </row>
    <row r="17">
      <c r="A17" s="12" t="n">
        <v>4</v>
      </c>
      <c r="B17" s="14" t="n"/>
      <c r="C17" s="14" t="n"/>
      <c r="D17" s="4" t="n"/>
    </row>
    <row r="18">
      <c r="A18" s="12" t="n">
        <v>8</v>
      </c>
      <c r="B18" s="14" t="n"/>
      <c r="C18" s="14" t="n"/>
      <c r="D18" s="4" t="n"/>
      <c r="G18" s="11" t="inlineStr">
        <is>
          <t>Q2.  From which whole week is Gym A cheaper?</t>
        </is>
      </c>
    </row>
    <row r="19">
      <c r="A19" s="12" t="n">
        <v>12</v>
      </c>
      <c r="B19" s="14" t="n"/>
      <c r="C19" s="14" t="n"/>
      <c r="D19" s="4" t="n"/>
      <c r="G19" s="15" t="n"/>
      <c r="H19" s="16" t="n"/>
      <c r="I19" s="16" t="n"/>
      <c r="J19" s="16" t="n"/>
      <c r="K19" s="16" t="n"/>
      <c r="L19" s="16" t="n"/>
      <c r="M19" s="16" t="n"/>
      <c r="N19" s="17" t="n"/>
    </row>
    <row r="20">
      <c r="A20" s="12" t="n">
        <v>16</v>
      </c>
      <c r="B20" s="14" t="n"/>
      <c r="C20" s="14" t="n"/>
      <c r="D20" s="4" t="n"/>
      <c r="G20" s="18" t="n"/>
      <c r="N20" s="19" t="n"/>
    </row>
    <row r="21">
      <c r="A21" s="12" t="n">
        <v>20</v>
      </c>
      <c r="B21" s="14" t="n"/>
      <c r="C21" s="14" t="n"/>
      <c r="D21" s="4" t="n"/>
      <c r="G21" s="20" t="n"/>
      <c r="H21" s="21" t="n"/>
      <c r="I21" s="21" t="n"/>
      <c r="J21" s="21" t="n"/>
      <c r="K21" s="21" t="n"/>
      <c r="L21" s="21" t="n"/>
      <c r="M21" s="21" t="n"/>
      <c r="N21" s="22" t="n"/>
    </row>
    <row r="22">
      <c r="A22" s="12" t="n">
        <v>24</v>
      </c>
      <c r="B22" s="14" t="n"/>
      <c r="C22" s="14" t="n"/>
      <c r="D22" s="4" t="n"/>
    </row>
    <row r="23">
      <c r="A23" s="12" t="n">
        <v>28</v>
      </c>
      <c r="B23" s="14" t="n"/>
      <c r="C23" s="14" t="n"/>
      <c r="D23" s="4" t="n"/>
      <c r="G23" s="11" t="inlineStr">
        <is>
          <t>Q3.  Which gym is cheaper for a full year (52 weeks), and by how much?</t>
        </is>
      </c>
    </row>
    <row r="24">
      <c r="A24" s="12" t="n">
        <v>32</v>
      </c>
      <c r="B24" s="14" t="n"/>
      <c r="C24" s="14" t="n"/>
      <c r="D24" s="4" t="n"/>
      <c r="G24" s="15" t="n"/>
      <c r="H24" s="16" t="n"/>
      <c r="I24" s="16" t="n"/>
      <c r="J24" s="16" t="n"/>
      <c r="K24" s="16" t="n"/>
      <c r="L24" s="16" t="n"/>
      <c r="M24" s="16" t="n"/>
      <c r="N24" s="17" t="n"/>
    </row>
    <row r="25">
      <c r="A25" s="12" t="n">
        <v>36</v>
      </c>
      <c r="B25" s="14" t="n"/>
      <c r="C25" s="14" t="n"/>
      <c r="D25" s="4" t="n"/>
      <c r="G25" s="18" t="n"/>
      <c r="N25" s="19" t="n"/>
    </row>
    <row r="26">
      <c r="A26" s="12" t="n">
        <v>40</v>
      </c>
      <c r="B26" s="14" t="n"/>
      <c r="C26" s="14" t="n"/>
      <c r="D26" s="4" t="n"/>
      <c r="G26" s="20" t="n"/>
      <c r="H26" s="21" t="n"/>
      <c r="I26" s="21" t="n"/>
      <c r="J26" s="21" t="n"/>
      <c r="K26" s="21" t="n"/>
      <c r="L26" s="21" t="n"/>
      <c r="M26" s="21" t="n"/>
      <c r="N26" s="22" t="n"/>
    </row>
    <row r="27">
      <c r="A27" s="12" t="n">
        <v>44</v>
      </c>
      <c r="B27" s="14" t="n"/>
      <c r="C27" s="14" t="n"/>
      <c r="D27" s="4" t="n"/>
    </row>
    <row r="28">
      <c r="A28" s="12" t="n">
        <v>48</v>
      </c>
      <c r="B28" s="14" t="n"/>
      <c r="C28" s="14" t="n"/>
      <c r="D28" s="4" t="n"/>
      <c r="G28" s="11" t="inlineStr">
        <is>
          <t>Q4.  Gym B drops its price to $14 a week. Change B8 (then change it back). When are the costs now equal? Who should choose which gym?</t>
        </is>
      </c>
    </row>
    <row r="29">
      <c r="A29" s="12" t="n">
        <v>52</v>
      </c>
      <c r="B29" s="14" t="n"/>
      <c r="C29" s="14" t="n"/>
      <c r="D29" s="4" t="n"/>
    </row>
    <row r="30">
      <c r="G30" s="15" t="n"/>
      <c r="H30" s="16" t="n"/>
      <c r="I30" s="16" t="n"/>
      <c r="J30" s="16" t="n"/>
      <c r="K30" s="16" t="n"/>
      <c r="L30" s="16" t="n"/>
      <c r="M30" s="16" t="n"/>
      <c r="N30" s="17" t="n"/>
    </row>
    <row r="31">
      <c r="G31" s="18" t="n"/>
      <c r="N31" s="19" t="n"/>
    </row>
    <row r="32">
      <c r="G32" s="20" t="n"/>
      <c r="H32" s="21" t="n"/>
      <c r="I32" s="21" t="n"/>
      <c r="J32" s="21" t="n"/>
      <c r="K32" s="21" t="n"/>
      <c r="L32" s="21" t="n"/>
      <c r="M32" s="21" t="n"/>
      <c r="N32" s="22" t="n"/>
    </row>
  </sheetData>
  <mergeCells count="14">
    <mergeCell ref="G8:N8"/>
    <mergeCell ref="G18:N18"/>
    <mergeCell ref="G30:N32"/>
    <mergeCell ref="G12:N13"/>
    <mergeCell ref="G28:N29"/>
    <mergeCell ref="G14:N16"/>
    <mergeCell ref="A2:N2"/>
    <mergeCell ref="G19:N21"/>
    <mergeCell ref="G6:N7"/>
    <mergeCell ref="G24:N26"/>
    <mergeCell ref="G5:N5"/>
    <mergeCell ref="G9:N9"/>
    <mergeCell ref="G23:N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2026-10-17T21:06:46Z</dcterms:created>
  <dcterms:modified xsi:type="dcterms:W3CDTF">2026-10-17T21:06:46Z</dcterms:modified>
</cp:coreProperties>
</file>