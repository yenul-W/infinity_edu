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Exercise" sheetId="2" state="visible" r:id="rId2"/>
    <sheet name="Task 2 Climate" sheetId="3" state="visible" r:id="rId3"/>
    <sheet name="Task 3 Arm span" sheetId="4" state="visible" r:id="rId4"/>
    <sheet name="Task 4 Car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00"/>
    <numFmt numFmtId="166" formatCode="0.0"/>
    <numFmt numFmtId="167" formatCode="0.0000"/>
    <numFmt numFmtId="168" formatCode="\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C0000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5" fillId="0" borderId="0" pivotButton="0" quotePrefix="0" xfId="0"/>
    <xf numFmtId="164" fontId="5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1" fontId="5" fillId="0" borderId="1" applyAlignment="1" pivotButton="0" quotePrefix="0" xfId="0">
      <alignment horizontal="center"/>
    </xf>
    <xf numFmtId="1" fontId="5" fillId="4" borderId="1" pivotButton="0" quotePrefix="0" xfId="0"/>
    <xf numFmtId="0" fontId="7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5" fillId="4" borderId="1" pivotButton="0" quotePrefix="0" xfId="0"/>
    <xf numFmtId="167" fontId="5" fillId="3" borderId="1" pivotButton="0" quotePrefix="0" xfId="0"/>
    <xf numFmtId="2" fontId="5" fillId="3" borderId="1" pivotButton="0" quotePrefix="0" xfId="0"/>
    <xf numFmtId="168" fontId="5" fillId="4" borderId="1" pivotButton="0" quotePrefix="0" xfId="0"/>
    <xf numFmtId="168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Exercise and resting heart rate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4A7EBB"/>
              </a:solidFill>
              <a:ln>
                <a:solidFill>
                  <a:srgbClr val="4A7EBB"/>
                </a:solidFill>
                <a:prstDash val="solid"/>
              </a:ln>
            </spPr>
          </marker>
          <xVal>
            <numRef>
              <f>'Task 1 Exercise'!$B$6:$B$19</f>
            </numRef>
          </xVal>
          <yVal>
            <numRef>
              <f>'Task 1 Exercise'!$C$6:$C$19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Exercise (minutes per week)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Resting heart rate (bpm)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Average maximum temperature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4A7EBB"/>
              </a:solidFill>
              <a:ln>
                <a:solidFill>
                  <a:srgbClr val="4A7EBB"/>
                </a:solidFill>
                <a:prstDash val="solid"/>
              </a:ln>
            </spPr>
          </marker>
          <trendline>
            <trendlineType val="linear"/>
            <dispRSqr val="0"/>
            <dispEq val="1"/>
          </trendline>
          <xVal>
            <numRef>
              <f>'Task 2 Climate'!$B$6:$B$25</f>
            </numRef>
          </xVal>
          <yVal>
            <numRef>
              <f>'Task 2 Climate'!$C$6:$C$25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Years since 2005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Arm span and height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4A7EBB"/>
              </a:solidFill>
              <a:ln>
                <a:solidFill>
                  <a:srgbClr val="4A7EBB"/>
                </a:solidFill>
                <a:prstDash val="solid"/>
              </a:ln>
            </spPr>
          </marker>
          <trendline>
            <trendlineType val="linear"/>
            <dispRSqr val="0"/>
            <dispEq val="1"/>
          </trendline>
          <xVal>
            <numRef>
              <f>'Task 3 Arm span'!$B$6:$B$20</f>
            </numRef>
          </xVal>
          <yVal>
            <numRef>
              <f>'Task 3 Arm span'!$C$6:$C$20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Arm span (cm)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Height (cm)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Age and value of used cars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4A7EBB"/>
              </a:solidFill>
              <a:ln>
                <a:solidFill>
                  <a:srgbClr val="4A7EBB"/>
                </a:solidFill>
                <a:prstDash val="solid"/>
              </a:ln>
            </spPr>
          </marker>
          <trendline>
            <trendlineType val="linear"/>
            <dispRSqr val="0"/>
            <dispEq val="1"/>
          </trendline>
          <xVal>
            <numRef>
              <f>'Task 4 Car values'!$B$6:$B$19</f>
            </numRef>
          </xVal>
          <yVal>
            <numRef>
              <f>'Task 4 Car values'!$C$6:$C$19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Age (years)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Bivariate Data Analysis – Spreadsheet Homework – SOLUTIONS</t>
        </is>
      </c>
    </row>
    <row r="2" ht="30" customHeight="1">
      <c r="A2" s="2" t="inlineStr">
        <is>
          <t>Four tasks. All datasets are sample data made up for these exercises. In each task you build the analysis yourself, then answer the questions.</t>
        </is>
      </c>
    </row>
    <row r="4">
      <c r="A4" s="3" t="inlineStr">
        <is>
          <t>SOLUTIONS – green cells show a correct formula or answer. Your formulas may look different and still be correct.</t>
        </is>
      </c>
    </row>
    <row r="6">
      <c r="A6" s="4" t="inlineStr">
        <is>
          <t>Colour key</t>
        </is>
      </c>
    </row>
    <row r="7">
      <c r="A7" s="5" t="n"/>
      <c r="B7" s="6" t="inlineStr">
        <is>
          <t>Green = a worked solution.</t>
        </is>
      </c>
    </row>
    <row r="8">
      <c r="A8" s="7" t="n">
        <v>1000</v>
      </c>
      <c r="B8" s="6" t="inlineStr">
        <is>
          <t>Blue = given information. Only change it when a question tells you to, then change it back.</t>
        </is>
      </c>
    </row>
    <row r="11">
      <c r="A11" s="4" t="inlineStr">
        <is>
          <t>The tasks</t>
        </is>
      </c>
    </row>
    <row r="12" ht="15" customHeight="1">
      <c r="A12" s="8" t="inlineStr">
        <is>
          <t>Tab</t>
        </is>
      </c>
      <c r="B12" s="8" t="inlineStr">
        <is>
          <t>Context</t>
        </is>
      </c>
      <c r="C12" s="8" t="inlineStr">
        <is>
          <t>What you practise</t>
        </is>
      </c>
    </row>
    <row r="13">
      <c r="A13" s="6" t="inlineStr">
        <is>
          <t>Task 1 Exercise</t>
        </is>
      </c>
      <c r="B13" s="6" t="inlineStr">
        <is>
          <t>Exercise and resting heart rate</t>
        </is>
      </c>
      <c r="C13" s="6" t="inlineStr">
        <is>
          <t>Variables; scatter plot; correlation; association vs causation</t>
        </is>
      </c>
    </row>
    <row r="14">
      <c r="A14" s="6" t="inlineStr">
        <is>
          <t>Task 2 Climate</t>
        </is>
      </c>
      <c r="B14" s="6" t="inlineStr">
        <is>
          <t>Average maximum temperatures in a town</t>
        </is>
      </c>
      <c r="C14" s="6" t="inlineStr">
        <is>
          <t>Least-squares line; interpreting the gradient; predictions</t>
        </is>
      </c>
    </row>
    <row r="15">
      <c r="A15" s="6" t="inlineStr">
        <is>
          <t>Task 3 Arm span</t>
        </is>
      </c>
      <c r="B15" s="6" t="inlineStr">
        <is>
          <t>Arm span and height</t>
        </is>
      </c>
      <c r="C15" s="6" t="inlineStr">
        <is>
          <t>Regression line, predictions and residuals</t>
        </is>
      </c>
    </row>
    <row r="16">
      <c r="A16" s="6" t="inlineStr">
        <is>
          <t>Task 4 Car values</t>
        </is>
      </c>
      <c r="B16" s="6" t="inlineStr">
        <is>
          <t>The age and value of used cars</t>
        </is>
      </c>
      <c r="C16" s="6" t="inlineStr">
        <is>
          <t>Is a linear model appropriate? Residuals and non-linear data</t>
        </is>
      </c>
    </row>
    <row r="18">
      <c r="A18" s="4" t="inlineStr">
        <is>
          <t>Rules for a good spreadsheet model</t>
        </is>
      </c>
    </row>
    <row r="19">
      <c r="A19" s="6" t="inlineStr">
        <is>
          <t xml:space="preserve">   1.  Every yellow table cell must contain a formula starting with =, not a typed number.</t>
        </is>
      </c>
    </row>
    <row r="20">
      <c r="A20" s="6" t="inlineStr">
        <is>
          <t xml:space="preserve">   2.  Formulas must use cell references (such as $B$5) for the given values, so the model updates when a value changes.</t>
        </is>
      </c>
    </row>
    <row r="21">
      <c r="A21" s="6" t="inlineStr">
        <is>
          <t xml:space="preserve">   3.  Use $ signs to lock a reference before you fill a formula down or across.</t>
        </is>
      </c>
    </row>
    <row r="22">
      <c r="A22" s="6" t="inlineStr">
        <is>
          <t xml:space="preserve">   4.  Use the check figures on each tab to test your formulas before you answer the questions.</t>
        </is>
      </c>
    </row>
    <row r="23">
      <c r="A23" s="6" t="inlineStr">
        <is>
          <t xml:space="preserve">   5.  Every chart needs a title and axis titles, and a legend if it shows more than one series. Place charts to the right of the questions.</t>
        </is>
      </c>
    </row>
    <row r="24">
      <c r="A24" s="6" t="inlineStr">
        <is>
          <t xml:space="preserve">   6.  Written answers should include the numbers from your spreadsheet that support them.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1   Exercise and resting heart rate</t>
        </is>
      </c>
    </row>
    <row r="2" ht="30" customHeight="1">
      <c r="A2" s="2" t="inlineStr">
        <is>
          <t>A gym recorded how many minutes of exercise 14 members did each week, and their resting heart rate. Is there an association?</t>
        </is>
      </c>
    </row>
    <row r="4">
      <c r="A4" s="4" t="inlineStr">
        <is>
          <t>The data (sample data)</t>
        </is>
      </c>
      <c r="G4" s="4" t="inlineStr">
        <is>
          <t>What to do</t>
        </is>
      </c>
    </row>
    <row r="5" ht="31.5" customHeight="1">
      <c r="A5" s="8" t="inlineStr">
        <is>
          <t>Member</t>
        </is>
      </c>
      <c r="B5" s="8" t="inlineStr">
        <is>
          <t>Exercise (minutes per week)</t>
        </is>
      </c>
      <c r="C5" s="8" t="inlineStr">
        <is>
          <t>Resting heart rate (beats per minute)</t>
        </is>
      </c>
      <c r="G5" s="9" t="inlineStr">
        <is>
          <t>1. Insert a scatter plot of the data. Put the independent variable on the x-axis, and add a chart title and axis titles.</t>
        </is>
      </c>
    </row>
    <row r="6">
      <c r="A6" s="10" t="n">
        <v>1</v>
      </c>
      <c r="B6" s="11" t="n">
        <v>30</v>
      </c>
      <c r="C6" s="11" t="n">
        <v>80</v>
      </c>
    </row>
    <row r="7">
      <c r="A7" s="10" t="n">
        <v>2</v>
      </c>
      <c r="B7" s="11" t="n">
        <v>45</v>
      </c>
      <c r="C7" s="11" t="n">
        <v>83</v>
      </c>
      <c r="G7" s="9" t="inlineStr">
        <is>
          <t>2. In D22, use CORREL to find r.</t>
        </is>
      </c>
    </row>
    <row r="8">
      <c r="A8" s="10" t="n">
        <v>3</v>
      </c>
      <c r="B8" s="11" t="n">
        <v>60</v>
      </c>
      <c r="C8" s="11" t="n">
        <v>76</v>
      </c>
      <c r="G8" s="9" t="inlineStr">
        <is>
          <t>3. In D23, write a formula that describes the strength and direction – or type the description. The tutorial (tab 2) shows an IF formula that does this.</t>
        </is>
      </c>
    </row>
    <row r="9">
      <c r="A9" s="10" t="n">
        <v>4</v>
      </c>
      <c r="B9" s="11" t="n">
        <v>90</v>
      </c>
      <c r="C9" s="11" t="n">
        <v>79</v>
      </c>
    </row>
    <row r="10">
      <c r="A10" s="10" t="n">
        <v>5</v>
      </c>
      <c r="B10" s="11" t="n">
        <v>100</v>
      </c>
      <c r="C10" s="11" t="n">
        <v>74</v>
      </c>
      <c r="G10" s="12" t="inlineStr">
        <is>
          <t>Check: r should be -0.886.</t>
        </is>
      </c>
    </row>
    <row r="11">
      <c r="A11" s="10" t="n">
        <v>6</v>
      </c>
      <c r="B11" s="11" t="n">
        <v>120</v>
      </c>
      <c r="C11" s="11" t="n">
        <v>77</v>
      </c>
    </row>
    <row r="12">
      <c r="A12" s="10" t="n">
        <v>7</v>
      </c>
      <c r="B12" s="11" t="n">
        <v>150</v>
      </c>
      <c r="C12" s="11" t="n">
        <v>71</v>
      </c>
      <c r="G12" s="4" t="inlineStr">
        <is>
          <t>Questions – worked answers</t>
        </is>
      </c>
    </row>
    <row r="13">
      <c r="A13" s="10" t="n">
        <v>8</v>
      </c>
      <c r="B13" s="11" t="n">
        <v>180</v>
      </c>
      <c r="C13" s="11" t="n">
        <v>75</v>
      </c>
      <c r="G13" s="12" t="inlineStr">
        <is>
          <t>Q1.  Which variable is the independent variable and which is the dependent variable? Explain.</t>
        </is>
      </c>
    </row>
    <row r="14">
      <c r="A14" s="10" t="n">
        <v>9</v>
      </c>
      <c r="B14" s="11" t="n">
        <v>200</v>
      </c>
      <c r="C14" s="11" t="n">
        <v>69</v>
      </c>
    </row>
    <row r="15">
      <c r="A15" s="10" t="n">
        <v>10</v>
      </c>
      <c r="B15" s="11" t="n">
        <v>240</v>
      </c>
      <c r="C15" s="11" t="n">
        <v>72</v>
      </c>
      <c r="G15" s="13" t="inlineStr">
        <is>
          <t>Independent: minutes of exercise per week. Dependent: resting heart rate. Exercise may affect heart rate, not the other way round, so exercise goes on the x-axis.</t>
        </is>
      </c>
      <c r="H15" s="14" t="n"/>
      <c r="I15" s="14" t="n"/>
      <c r="J15" s="14" t="n"/>
      <c r="K15" s="14" t="n"/>
      <c r="L15" s="14" t="n"/>
      <c r="M15" s="14" t="n"/>
      <c r="N15" s="15" t="n"/>
    </row>
    <row r="16">
      <c r="A16" s="10" t="n">
        <v>11</v>
      </c>
      <c r="B16" s="11" t="n">
        <v>260</v>
      </c>
      <c r="C16" s="11" t="n">
        <v>66</v>
      </c>
      <c r="G16" s="16" t="n"/>
      <c r="N16" s="17" t="n"/>
    </row>
    <row r="17">
      <c r="A17" s="10" t="n">
        <v>12</v>
      </c>
      <c r="B17" s="11" t="n">
        <v>300</v>
      </c>
      <c r="C17" s="11" t="n">
        <v>70</v>
      </c>
      <c r="G17" s="18" t="n"/>
      <c r="H17" s="19" t="n"/>
      <c r="I17" s="19" t="n"/>
      <c r="J17" s="19" t="n"/>
      <c r="K17" s="19" t="n"/>
      <c r="L17" s="19" t="n"/>
      <c r="M17" s="19" t="n"/>
      <c r="N17" s="20" t="n"/>
    </row>
    <row r="18">
      <c r="A18" s="10" t="n">
        <v>13</v>
      </c>
      <c r="B18" s="11" t="n">
        <v>330</v>
      </c>
      <c r="C18" s="11" t="n">
        <v>63</v>
      </c>
    </row>
    <row r="19">
      <c r="A19" s="10" t="n">
        <v>14</v>
      </c>
      <c r="B19" s="11" t="n">
        <v>360</v>
      </c>
      <c r="C19" s="11" t="n">
        <v>67</v>
      </c>
      <c r="G19" s="12" t="inlineStr">
        <is>
          <t>Q2.  Describe the scatter plot: its form, direction and strength.</t>
        </is>
      </c>
    </row>
    <row r="20">
      <c r="G20" s="13" t="inlineStr">
        <is>
          <t>Linear, negative and strong: members who exercise more tend to have a lower resting heart rate, and the points lie fairly close to a straight line.</t>
        </is>
      </c>
      <c r="H20" s="14" t="n"/>
      <c r="I20" s="14" t="n"/>
      <c r="J20" s="14" t="n"/>
      <c r="K20" s="14" t="n"/>
      <c r="L20" s="14" t="n"/>
      <c r="M20" s="14" t="n"/>
      <c r="N20" s="15" t="n"/>
    </row>
    <row r="21">
      <c r="A21" s="4" t="inlineStr">
        <is>
          <t>Your calculations</t>
        </is>
      </c>
      <c r="G21" s="16" t="n"/>
      <c r="N21" s="17" t="n"/>
    </row>
    <row r="22">
      <c r="A22" s="6" t="inlineStr">
        <is>
          <t>Correlation coefficient, r</t>
        </is>
      </c>
      <c r="D22" s="21">
        <f>CORREL(B6:B19,C6:C19)</f>
        <v/>
      </c>
      <c r="G22" s="18" t="n"/>
      <c r="H22" s="19" t="n"/>
      <c r="I22" s="19" t="n"/>
      <c r="J22" s="19" t="n"/>
      <c r="K22" s="19" t="n"/>
      <c r="L22" s="19" t="n"/>
      <c r="M22" s="19" t="n"/>
      <c r="N22" s="20" t="n"/>
    </row>
    <row r="23">
      <c r="A23" s="6" t="inlineStr">
        <is>
          <t>Strength and direction</t>
        </is>
      </c>
      <c r="D23" s="5">
        <f>IF(ABS(D22)&gt;=0.9,"Very strong",IF(ABS(D22)&gt;=0.7,"Strong",IF(ABS(D22)&gt;=0.5,"Moderate",IF(ABS(D22)&gt;=0.3,"Weak","Very weak or no"))))&amp;IF(D22&gt;0," positive"," negative")&amp;" linear association"</f>
        <v/>
      </c>
      <c r="E23" s="22" t="n"/>
      <c r="F23" s="23" t="n"/>
    </row>
    <row r="24">
      <c r="G24" s="12" t="inlineStr">
        <is>
          <t>Q3.  What is r? Does it agree with your description?</t>
        </is>
      </c>
    </row>
    <row r="25">
      <c r="G25" s="13" t="inlineStr">
        <is>
          <t>r = -0.886, a strong negative linear association. Yes – the sign shows the negative direction and its size, 0.89, shows the strength.</t>
        </is>
      </c>
      <c r="H25" s="14" t="n"/>
      <c r="I25" s="14" t="n"/>
      <c r="J25" s="14" t="n"/>
      <c r="K25" s="14" t="n"/>
      <c r="L25" s="14" t="n"/>
      <c r="M25" s="14" t="n"/>
      <c r="N25" s="15" t="n"/>
    </row>
    <row r="26">
      <c r="G26" s="16" t="n"/>
      <c r="N26" s="17" t="n"/>
    </row>
    <row r="27">
      <c r="G27" s="18" t="n"/>
      <c r="H27" s="19" t="n"/>
      <c r="I27" s="19" t="n"/>
      <c r="J27" s="19" t="n"/>
      <c r="K27" s="19" t="n"/>
      <c r="L27" s="19" t="n"/>
      <c r="M27" s="19" t="n"/>
      <c r="N27" s="20" t="n"/>
    </row>
    <row r="29">
      <c r="G29" s="12" t="inlineStr">
        <is>
          <t>Q4.  Does this data prove that exercise CAUSES a lower resting heart rate? Explain.</t>
        </is>
      </c>
    </row>
    <row r="30"/>
    <row r="31">
      <c r="G31" s="13" t="inlineStr">
        <is>
          <t>No. It shows an association, not that one causes the other. Other factors, such as age, general health, genetics or diet, could affect both variables. A controlled experiment would be needed to show cause and effect.</t>
        </is>
      </c>
      <c r="H31" s="14" t="n"/>
      <c r="I31" s="14" t="n"/>
      <c r="J31" s="14" t="n"/>
      <c r="K31" s="14" t="n"/>
      <c r="L31" s="14" t="n"/>
      <c r="M31" s="14" t="n"/>
      <c r="N31" s="15" t="n"/>
    </row>
    <row r="32">
      <c r="G32" s="16" t="n"/>
      <c r="N32" s="17" t="n"/>
    </row>
    <row r="33">
      <c r="G33" s="18" t="n"/>
      <c r="H33" s="19" t="n"/>
      <c r="I33" s="19" t="n"/>
      <c r="J33" s="19" t="n"/>
      <c r="K33" s="19" t="n"/>
      <c r="L33" s="19" t="n"/>
      <c r="M33" s="19" t="n"/>
      <c r="N33" s="20" t="n"/>
    </row>
  </sheetData>
  <mergeCells count="15">
    <mergeCell ref="G31:N33"/>
    <mergeCell ref="G8:N9"/>
    <mergeCell ref="G25:N27"/>
    <mergeCell ref="D23:F23"/>
    <mergeCell ref="G7:N7"/>
    <mergeCell ref="G13:N14"/>
    <mergeCell ref="G20:N22"/>
    <mergeCell ref="A2:N2"/>
    <mergeCell ref="G24:N24"/>
    <mergeCell ref="G15:N17"/>
    <mergeCell ref="G19:N19"/>
    <mergeCell ref="G10:N10"/>
    <mergeCell ref="G29:N30"/>
    <mergeCell ref="G5:N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2   Average maximum temperatures</t>
        </is>
      </c>
    </row>
    <row r="2" ht="30" customHeight="1">
      <c r="A2" s="2" t="inlineStr">
        <is>
          <t>The table gives the average daily maximum temperature in a country town for 20 years, starting in 2005 (year 0). This is sample data made up for this task.</t>
        </is>
      </c>
    </row>
    <row r="4">
      <c r="A4" s="4" t="inlineStr">
        <is>
          <t>The data (sample data)</t>
        </is>
      </c>
      <c r="G4" s="4" t="inlineStr">
        <is>
          <t>What to do</t>
        </is>
      </c>
    </row>
    <row r="5" ht="31.5" customHeight="1">
      <c r="A5" s="8" t="inlineStr">
        <is>
          <t>Year</t>
        </is>
      </c>
      <c r="B5" s="8" t="inlineStr">
        <is>
          <t>Years since 2005, x</t>
        </is>
      </c>
      <c r="C5" s="8" t="inlineStr">
        <is>
          <t>Average maximum temperature (°C), y</t>
        </is>
      </c>
      <c r="G5" s="9" t="inlineStr">
        <is>
          <t>1. Insert a scatter plot of temperature (y) against years since 2005 (x). Add a linear trendline and display its equation.</t>
        </is>
      </c>
    </row>
    <row r="6">
      <c r="A6" s="10" t="n">
        <v>2005</v>
      </c>
      <c r="B6" s="11" t="n">
        <v>0</v>
      </c>
      <c r="C6" s="24" t="n">
        <v>23.2</v>
      </c>
    </row>
    <row r="7">
      <c r="A7" s="10" t="n">
        <v>2006</v>
      </c>
      <c r="B7" s="11" t="n">
        <v>1</v>
      </c>
      <c r="C7" s="24" t="n">
        <v>22.7</v>
      </c>
      <c r="G7" s="9" t="inlineStr">
        <is>
          <t>2. In D28 and D29, use SLOPE and INTERCEPT to find the least-squares regression line. Check that they match the trendline equation.</t>
        </is>
      </c>
    </row>
    <row r="8">
      <c r="A8" s="10" t="n">
        <v>2007</v>
      </c>
      <c r="B8" s="11" t="n">
        <v>2</v>
      </c>
      <c r="C8" s="24" t="n">
        <v>23.2</v>
      </c>
    </row>
    <row r="9">
      <c r="A9" s="10" t="n">
        <v>2008</v>
      </c>
      <c r="B9" s="11" t="n">
        <v>3</v>
      </c>
      <c r="C9" s="24" t="n">
        <v>23.5</v>
      </c>
      <c r="G9" s="9" t="inlineStr">
        <is>
          <t>3. In D30, find r. In D31 and D32, use your gradient and intercept cells to make the predictions.</t>
        </is>
      </c>
    </row>
    <row r="10">
      <c r="A10" s="10" t="n">
        <v>2009</v>
      </c>
      <c r="B10" s="11" t="n">
        <v>4</v>
      </c>
      <c r="C10" s="24" t="n">
        <v>22.9</v>
      </c>
    </row>
    <row r="11">
      <c r="A11" s="10" t="n">
        <v>2010</v>
      </c>
      <c r="B11" s="11" t="n">
        <v>5</v>
      </c>
      <c r="C11" s="24" t="n">
        <v>23.2</v>
      </c>
      <c r="G11" s="12" t="inlineStr">
        <is>
          <t>Check: the gradient should be 0.0395.</t>
        </is>
      </c>
    </row>
    <row r="12">
      <c r="A12" s="10" t="n">
        <v>2011</v>
      </c>
      <c r="B12" s="11" t="n">
        <v>6</v>
      </c>
      <c r="C12" s="24" t="n">
        <v>23.5</v>
      </c>
    </row>
    <row r="13">
      <c r="A13" s="10" t="n">
        <v>2012</v>
      </c>
      <c r="B13" s="11" t="n">
        <v>7</v>
      </c>
      <c r="C13" s="24" t="n">
        <v>22.8</v>
      </c>
      <c r="G13" s="4" t="inlineStr">
        <is>
          <t>Questions – worked answers</t>
        </is>
      </c>
    </row>
    <row r="14">
      <c r="A14" s="10" t="n">
        <v>2013</v>
      </c>
      <c r="B14" s="11" t="n">
        <v>8</v>
      </c>
      <c r="C14" s="24" t="n">
        <v>23.4</v>
      </c>
      <c r="G14" s="12" t="inlineStr">
        <is>
          <t>Q1.  Write the equation of the least-squares regression line, and r. Describe the association.</t>
        </is>
      </c>
    </row>
    <row r="15">
      <c r="A15" s="10" t="n">
        <v>2014</v>
      </c>
      <c r="B15" s="11" t="n">
        <v>9</v>
      </c>
      <c r="C15" s="24" t="n">
        <v>23.5</v>
      </c>
    </row>
    <row r="16">
      <c r="A16" s="10" t="n">
        <v>2015</v>
      </c>
      <c r="B16" s="11" t="n">
        <v>10</v>
      </c>
      <c r="C16" s="24" t="n">
        <v>23.2</v>
      </c>
      <c r="G16" s="13" t="inlineStr">
        <is>
          <t>ŷ = 0.0395x + 23.0043, where x is years since 2005.  r = 0.668: a moderate positive linear association.</t>
        </is>
      </c>
      <c r="H16" s="14" t="n"/>
      <c r="I16" s="14" t="n"/>
      <c r="J16" s="14" t="n"/>
      <c r="K16" s="14" t="n"/>
      <c r="L16" s="14" t="n"/>
      <c r="M16" s="14" t="n"/>
      <c r="N16" s="15" t="n"/>
    </row>
    <row r="17">
      <c r="A17" s="10" t="n">
        <v>2016</v>
      </c>
      <c r="B17" s="11" t="n">
        <v>11</v>
      </c>
      <c r="C17" s="24" t="n">
        <v>23.7</v>
      </c>
      <c r="G17" s="16" t="n"/>
      <c r="N17" s="17" t="n"/>
    </row>
    <row r="18">
      <c r="A18" s="10" t="n">
        <v>2017</v>
      </c>
      <c r="B18" s="11" t="n">
        <v>12</v>
      </c>
      <c r="C18" s="24" t="n">
        <v>23.2</v>
      </c>
      <c r="G18" s="18" t="n"/>
      <c r="H18" s="19" t="n"/>
      <c r="I18" s="19" t="n"/>
      <c r="J18" s="19" t="n"/>
      <c r="K18" s="19" t="n"/>
      <c r="L18" s="19" t="n"/>
      <c r="M18" s="19" t="n"/>
      <c r="N18" s="20" t="n"/>
    </row>
    <row r="19">
      <c r="A19" s="10" t="n">
        <v>2018</v>
      </c>
      <c r="B19" s="11" t="n">
        <v>13</v>
      </c>
      <c r="C19" s="24" t="n">
        <v>23.5</v>
      </c>
    </row>
    <row r="20">
      <c r="A20" s="10" t="n">
        <v>2019</v>
      </c>
      <c r="B20" s="11" t="n">
        <v>14</v>
      </c>
      <c r="C20" s="24" t="n">
        <v>23.9</v>
      </c>
      <c r="G20" s="12" t="inlineStr">
        <is>
          <t>Q2.  Interpret the gradient in context. What change does the line suggest over a decade?</t>
        </is>
      </c>
    </row>
    <row r="21">
      <c r="A21" s="10" t="n">
        <v>2020</v>
      </c>
      <c r="B21" s="11" t="n">
        <v>15</v>
      </c>
      <c r="C21" s="24" t="n">
        <v>23.2</v>
      </c>
    </row>
    <row r="22">
      <c r="A22" s="10" t="n">
        <v>2021</v>
      </c>
      <c r="B22" s="11" t="n">
        <v>16</v>
      </c>
      <c r="C22" s="24" t="n">
        <v>23.7</v>
      </c>
      <c r="G22" s="13" t="inlineStr">
        <is>
          <t>The average maximum temperature has risen by about 0.040 °C per year on average – about 0.40 °C per decade.</t>
        </is>
      </c>
      <c r="H22" s="14" t="n"/>
      <c r="I22" s="14" t="n"/>
      <c r="J22" s="14" t="n"/>
      <c r="K22" s="14" t="n"/>
      <c r="L22" s="14" t="n"/>
      <c r="M22" s="14" t="n"/>
      <c r="N22" s="15" t="n"/>
    </row>
    <row r="23">
      <c r="A23" s="10" t="n">
        <v>2022</v>
      </c>
      <c r="B23" s="11" t="n">
        <v>17</v>
      </c>
      <c r="C23" s="24" t="n">
        <v>23.8</v>
      </c>
      <c r="G23" s="16" t="n"/>
      <c r="N23" s="17" t="n"/>
    </row>
    <row r="24">
      <c r="A24" s="10" t="n">
        <v>2023</v>
      </c>
      <c r="B24" s="11" t="n">
        <v>18</v>
      </c>
      <c r="C24" s="24" t="n">
        <v>23.5</v>
      </c>
      <c r="G24" s="18" t="n"/>
      <c r="H24" s="19" t="n"/>
      <c r="I24" s="19" t="n"/>
      <c r="J24" s="19" t="n"/>
      <c r="K24" s="19" t="n"/>
      <c r="L24" s="19" t="n"/>
      <c r="M24" s="19" t="n"/>
      <c r="N24" s="20" t="n"/>
    </row>
    <row r="25">
      <c r="A25" s="10" t="n">
        <v>2024</v>
      </c>
      <c r="B25" s="11" t="n">
        <v>19</v>
      </c>
      <c r="C25" s="24" t="n">
        <v>24</v>
      </c>
    </row>
    <row r="26">
      <c r="G26" s="12" t="inlineStr">
        <is>
          <t>Q3.  Predict the average maximum temperature in 2015 and in 2030. Which prediction is more reliable? Why?</t>
        </is>
      </c>
    </row>
    <row r="27">
      <c r="A27" s="4" t="inlineStr">
        <is>
          <t>Your calculations</t>
        </is>
      </c>
    </row>
    <row r="28">
      <c r="A28" s="6" t="inlineStr">
        <is>
          <t>Gradient, b</t>
        </is>
      </c>
      <c r="D28" s="25">
        <f>SLOPE(C6:C25,B6:B25)</f>
        <v/>
      </c>
      <c r="G28" s="13" t="inlineStr">
        <is>
          <t>2015 (x = 10): 23.40 °C.  2030 (x = 25): 23.99 °C.  2015 is more reliable – it is interpolation, inside the data. 2030 is extrapolation: it assumes the trend continues unchanged.</t>
        </is>
      </c>
      <c r="H28" s="14" t="n"/>
      <c r="I28" s="14" t="n"/>
      <c r="J28" s="14" t="n"/>
      <c r="K28" s="14" t="n"/>
      <c r="L28" s="14" t="n"/>
      <c r="M28" s="14" t="n"/>
      <c r="N28" s="15" t="n"/>
    </row>
    <row r="29">
      <c r="A29" s="6" t="inlineStr">
        <is>
          <t>y-intercept, a</t>
        </is>
      </c>
      <c r="D29" s="25">
        <f>INTERCEPT(C6:C25,B6:B25)</f>
        <v/>
      </c>
      <c r="G29" s="16" t="n"/>
      <c r="N29" s="17" t="n"/>
    </row>
    <row r="30">
      <c r="A30" s="6" t="inlineStr">
        <is>
          <t>Correlation coefficient, r</t>
        </is>
      </c>
      <c r="D30" s="21">
        <f>CORREL(B6:B25,C6:C25)</f>
        <v/>
      </c>
      <c r="G30" s="18" t="n"/>
      <c r="H30" s="19" t="n"/>
      <c r="I30" s="19" t="n"/>
      <c r="J30" s="19" t="n"/>
      <c r="K30" s="19" t="n"/>
      <c r="L30" s="19" t="n"/>
      <c r="M30" s="19" t="n"/>
      <c r="N30" s="20" t="n"/>
    </row>
    <row r="31">
      <c r="A31" s="6" t="inlineStr">
        <is>
          <t>Predicted temperature in 2015 (°C)</t>
        </is>
      </c>
      <c r="D31" s="26">
        <f>D29+D28*10</f>
        <v/>
      </c>
    </row>
    <row r="32">
      <c r="A32" s="6" t="inlineStr">
        <is>
          <t>Predicted temperature in 2030 (°C)</t>
        </is>
      </c>
      <c r="D32" s="26">
        <f>D29+D28*25</f>
        <v/>
      </c>
      <c r="G32" s="12" t="inlineStr">
        <is>
          <t>Q4.  Why did we use “years since 2005” for x instead of the actual year?</t>
        </is>
      </c>
    </row>
    <row r="33">
      <c r="G33" s="13" t="inlineStr">
        <is>
          <t>With x = actual year, the y-intercept would be the temperature in the year 0 – about -56 °C, which is meaningless. Using years since 2005 makes the y-intercept (23.00 °C) the predicted value for 2005, which is useful.</t>
        </is>
      </c>
      <c r="H33" s="14" t="n"/>
      <c r="I33" s="14" t="n"/>
      <c r="J33" s="14" t="n"/>
      <c r="K33" s="14" t="n"/>
      <c r="L33" s="14" t="n"/>
      <c r="M33" s="14" t="n"/>
      <c r="N33" s="15" t="n"/>
    </row>
    <row r="34">
      <c r="G34" s="16" t="n"/>
      <c r="N34" s="17" t="n"/>
    </row>
    <row r="35">
      <c r="G35" s="18" t="n"/>
      <c r="H35" s="19" t="n"/>
      <c r="I35" s="19" t="n"/>
      <c r="J35" s="19" t="n"/>
      <c r="K35" s="19" t="n"/>
      <c r="L35" s="19" t="n"/>
      <c r="M35" s="19" t="n"/>
      <c r="N35" s="20" t="n"/>
    </row>
  </sheetData>
  <mergeCells count="14">
    <mergeCell ref="G16:N18"/>
    <mergeCell ref="G7:N8"/>
    <mergeCell ref="A2:N2"/>
    <mergeCell ref="G11:N11"/>
    <mergeCell ref="G28:N30"/>
    <mergeCell ref="G33:N35"/>
    <mergeCell ref="G32:N32"/>
    <mergeCell ref="G20:N21"/>
    <mergeCell ref="G22:N24"/>
    <mergeCell ref="G14:N15"/>
    <mergeCell ref="G5:N6"/>
    <mergeCell ref="G9:N10"/>
    <mergeCell ref="G26:N2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3   Arm span and height</t>
        </is>
      </c>
    </row>
    <row r="2" ht="30" customHeight="1">
      <c r="A2" s="2" t="inlineStr">
        <is>
          <t>A class measured each student’s arm span and height in centimetres. Can arm span be used to predict height? This is sample data.</t>
        </is>
      </c>
    </row>
    <row r="4">
      <c r="A4" s="4" t="inlineStr">
        <is>
          <t>The data (sample data)</t>
        </is>
      </c>
      <c r="G4" s="4" t="inlineStr">
        <is>
          <t>What to do</t>
        </is>
      </c>
    </row>
    <row r="5" ht="31.5" customHeight="1">
      <c r="A5" s="8" t="inlineStr">
        <is>
          <t>Student</t>
        </is>
      </c>
      <c r="B5" s="8" t="inlineStr">
        <is>
          <t>Arm span (cm), x</t>
        </is>
      </c>
      <c r="C5" s="8" t="inlineStr">
        <is>
          <t>Height (cm), y</t>
        </is>
      </c>
      <c r="D5" s="8" t="inlineStr">
        <is>
          <t>Predicted height, ŷ (cm)</t>
        </is>
      </c>
      <c r="E5" s="8" t="inlineStr">
        <is>
          <t>Residual, y − ŷ (cm)</t>
        </is>
      </c>
      <c r="G5" s="9" t="inlineStr">
        <is>
          <t>1. In D23, D24 and D25, find the gradient, y-intercept and r.</t>
        </is>
      </c>
    </row>
    <row r="6">
      <c r="A6" s="10" t="n">
        <v>1</v>
      </c>
      <c r="B6" s="11" t="n">
        <v>150</v>
      </c>
      <c r="C6" s="11" t="n">
        <v>152</v>
      </c>
      <c r="D6" s="26">
        <f>$D$24+$D$23*B6</f>
        <v/>
      </c>
      <c r="E6" s="26">
        <f>C6-D6</f>
        <v/>
      </c>
      <c r="G6" s="9" t="inlineStr">
        <is>
          <t>2. In D6, write a formula for the predicted height using your gradient and intercept cells (with $ signs). In E6, find the residual. Fill both down.</t>
        </is>
      </c>
    </row>
    <row r="7">
      <c r="A7" s="10" t="n">
        <v>2</v>
      </c>
      <c r="B7" s="11" t="n">
        <v>155</v>
      </c>
      <c r="C7" s="11" t="n">
        <v>154</v>
      </c>
      <c r="D7" s="26">
        <f>$D$24+$D$23*B7</f>
        <v/>
      </c>
      <c r="E7" s="26">
        <f>C7-D7</f>
        <v/>
      </c>
    </row>
    <row r="8">
      <c r="A8" s="10" t="n">
        <v>3</v>
      </c>
      <c r="B8" s="11" t="n">
        <v>158</v>
      </c>
      <c r="C8" s="11" t="n">
        <v>160</v>
      </c>
      <c r="D8" s="26">
        <f>$D$24+$D$23*B8</f>
        <v/>
      </c>
      <c r="E8" s="26">
        <f>C8-D8</f>
        <v/>
      </c>
      <c r="G8" s="9" t="inlineStr">
        <is>
          <t>3. Insert a scatter plot with a linear trendline.</t>
        </is>
      </c>
    </row>
    <row r="9">
      <c r="A9" s="10" t="n">
        <v>4</v>
      </c>
      <c r="B9" s="11" t="n">
        <v>160</v>
      </c>
      <c r="C9" s="11" t="n">
        <v>158</v>
      </c>
      <c r="D9" s="26">
        <f>$D$24+$D$23*B9</f>
        <v/>
      </c>
      <c r="E9" s="26">
        <f>C9-D9</f>
        <v/>
      </c>
      <c r="G9" s="12" t="inlineStr">
        <is>
          <t>Check: the predicted height for student 1 should be 151.01 cm.</t>
        </is>
      </c>
    </row>
    <row r="10">
      <c r="A10" s="10" t="n">
        <v>5</v>
      </c>
      <c r="B10" s="11" t="n">
        <v>162</v>
      </c>
      <c r="C10" s="11" t="n">
        <v>165</v>
      </c>
      <c r="D10" s="26">
        <f>$D$24+$D$23*B10</f>
        <v/>
      </c>
      <c r="E10" s="26">
        <f>C10-D10</f>
        <v/>
      </c>
    </row>
    <row r="11">
      <c r="A11" s="10" t="n">
        <v>6</v>
      </c>
      <c r="B11" s="11" t="n">
        <v>165</v>
      </c>
      <c r="C11" s="11" t="n">
        <v>163</v>
      </c>
      <c r="D11" s="26">
        <f>$D$24+$D$23*B11</f>
        <v/>
      </c>
      <c r="E11" s="26">
        <f>C11-D11</f>
        <v/>
      </c>
      <c r="G11" s="4" t="inlineStr">
        <is>
          <t>Questions – worked answers</t>
        </is>
      </c>
    </row>
    <row r="12">
      <c r="A12" s="10" t="n">
        <v>7</v>
      </c>
      <c r="B12" s="11" t="n">
        <v>166</v>
      </c>
      <c r="C12" s="11" t="n">
        <v>168</v>
      </c>
      <c r="D12" s="26">
        <f>$D$24+$D$23*B12</f>
        <v/>
      </c>
      <c r="E12" s="26">
        <f>C12-D12</f>
        <v/>
      </c>
      <c r="G12" s="12" t="inlineStr">
        <is>
          <t>Q1.  Write the equation of the least-squares regression line. How strong is the association?</t>
        </is>
      </c>
    </row>
    <row r="13">
      <c r="A13" s="10" t="n">
        <v>8</v>
      </c>
      <c r="B13" s="11" t="n">
        <v>168</v>
      </c>
      <c r="C13" s="11" t="n">
        <v>167</v>
      </c>
      <c r="D13" s="26">
        <f>$D$24+$D$23*B13</f>
        <v/>
      </c>
      <c r="E13" s="26">
        <f>C13-D13</f>
        <v/>
      </c>
    </row>
    <row r="14">
      <c r="A14" s="10" t="n">
        <v>9</v>
      </c>
      <c r="B14" s="11" t="n">
        <v>170</v>
      </c>
      <c r="C14" s="11" t="n">
        <v>172</v>
      </c>
      <c r="D14" s="26">
        <f>$D$24+$D$23*B14</f>
        <v/>
      </c>
      <c r="E14" s="26">
        <f>C14-D14</f>
        <v/>
      </c>
      <c r="G14" s="13" t="inlineStr">
        <is>
          <t>ŷ = 0.9528x + 8.0997.  r = 0.985: a very strong positive linear association.</t>
        </is>
      </c>
      <c r="H14" s="14" t="n"/>
      <c r="I14" s="14" t="n"/>
      <c r="J14" s="14" t="n"/>
      <c r="K14" s="14" t="n"/>
      <c r="L14" s="14" t="n"/>
      <c r="M14" s="14" t="n"/>
      <c r="N14" s="15" t="n"/>
    </row>
    <row r="15">
      <c r="A15" s="10" t="n">
        <v>10</v>
      </c>
      <c r="B15" s="11" t="n">
        <v>172</v>
      </c>
      <c r="C15" s="11" t="n">
        <v>170</v>
      </c>
      <c r="D15" s="26">
        <f>$D$24+$D$23*B15</f>
        <v/>
      </c>
      <c r="E15" s="26">
        <f>C15-D15</f>
        <v/>
      </c>
      <c r="G15" s="16" t="n"/>
      <c r="N15" s="17" t="n"/>
    </row>
    <row r="16">
      <c r="A16" s="10" t="n">
        <v>11</v>
      </c>
      <c r="B16" s="11" t="n">
        <v>175</v>
      </c>
      <c r="C16" s="11" t="n">
        <v>176</v>
      </c>
      <c r="D16" s="26">
        <f>$D$24+$D$23*B16</f>
        <v/>
      </c>
      <c r="E16" s="26">
        <f>C16-D16</f>
        <v/>
      </c>
      <c r="G16" s="18" t="n"/>
      <c r="H16" s="19" t="n"/>
      <c r="I16" s="19" t="n"/>
      <c r="J16" s="19" t="n"/>
      <c r="K16" s="19" t="n"/>
      <c r="L16" s="19" t="n"/>
      <c r="M16" s="19" t="n"/>
      <c r="N16" s="20" t="n"/>
    </row>
    <row r="17">
      <c r="A17" s="10" t="n">
        <v>12</v>
      </c>
      <c r="B17" s="11" t="n">
        <v>178</v>
      </c>
      <c r="C17" s="11" t="n">
        <v>177</v>
      </c>
      <c r="D17" s="26">
        <f>$D$24+$D$23*B17</f>
        <v/>
      </c>
      <c r="E17" s="26">
        <f>C17-D17</f>
        <v/>
      </c>
    </row>
    <row r="18">
      <c r="A18" s="10" t="n">
        <v>13</v>
      </c>
      <c r="B18" s="11" t="n">
        <v>180</v>
      </c>
      <c r="C18" s="11" t="n">
        <v>182</v>
      </c>
      <c r="D18" s="26">
        <f>$D$24+$D$23*B18</f>
        <v/>
      </c>
      <c r="E18" s="26">
        <f>C18-D18</f>
        <v/>
      </c>
      <c r="G18" s="12" t="inlineStr">
        <is>
          <t>Q2.  Predict the height of a student with an arm span of 174 cm. Is this interpolation or extrapolation?</t>
        </is>
      </c>
    </row>
    <row r="19">
      <c r="A19" s="10" t="n">
        <v>14</v>
      </c>
      <c r="B19" s="11" t="n">
        <v>183</v>
      </c>
      <c r="C19" s="11" t="n">
        <v>181</v>
      </c>
      <c r="D19" s="26">
        <f>$D$24+$D$23*B19</f>
        <v/>
      </c>
      <c r="E19" s="26">
        <f>C19-D19</f>
        <v/>
      </c>
    </row>
    <row r="20">
      <c r="A20" s="10" t="n">
        <v>15</v>
      </c>
      <c r="B20" s="11" t="n">
        <v>188</v>
      </c>
      <c r="C20" s="11" t="n">
        <v>187</v>
      </c>
      <c r="D20" s="26">
        <f>$D$24+$D$23*B20</f>
        <v/>
      </c>
      <c r="E20" s="26">
        <f>C20-D20</f>
        <v/>
      </c>
      <c r="G20" s="13" t="inlineStr">
        <is>
          <t>173.9 cm. Interpolation – 174 cm is inside the data (150 to 188 cm), so it is reasonably reliable.</t>
        </is>
      </c>
      <c r="H20" s="14" t="n"/>
      <c r="I20" s="14" t="n"/>
      <c r="J20" s="14" t="n"/>
      <c r="K20" s="14" t="n"/>
      <c r="L20" s="14" t="n"/>
      <c r="M20" s="14" t="n"/>
      <c r="N20" s="15" t="n"/>
    </row>
    <row r="21">
      <c r="G21" s="16" t="n"/>
      <c r="N21" s="17" t="n"/>
    </row>
    <row r="22">
      <c r="A22" s="4" t="inlineStr">
        <is>
          <t>Your calculations</t>
        </is>
      </c>
      <c r="G22" s="18" t="n"/>
      <c r="H22" s="19" t="n"/>
      <c r="I22" s="19" t="n"/>
      <c r="J22" s="19" t="n"/>
      <c r="K22" s="19" t="n"/>
      <c r="L22" s="19" t="n"/>
      <c r="M22" s="19" t="n"/>
      <c r="N22" s="20" t="n"/>
    </row>
    <row r="23">
      <c r="A23" s="6" t="inlineStr">
        <is>
          <t>Gradient, b</t>
        </is>
      </c>
      <c r="D23" s="25">
        <f>SLOPE(C6:C20,B6:B20)</f>
        <v/>
      </c>
    </row>
    <row r="24">
      <c r="A24" s="6" t="inlineStr">
        <is>
          <t>y-intercept, a</t>
        </is>
      </c>
      <c r="D24" s="25">
        <f>INTERCEPT(C6:C20,B6:B20)</f>
        <v/>
      </c>
      <c r="G24" s="12" t="inlineStr">
        <is>
          <t>Q3.  A young child has an arm span of 110 cm. What height does the line predict? How reliable is this?</t>
        </is>
      </c>
    </row>
    <row r="25">
      <c r="A25" s="6" t="inlineStr">
        <is>
          <t>Correlation coefficient, r</t>
        </is>
      </c>
      <c r="D25" s="21">
        <f>CORREL(B6:B20,C6:C20)</f>
        <v/>
      </c>
    </row>
    <row r="26">
      <c r="G26" s="13" t="inlineStr">
        <is>
          <t>112.9 cm. This is extrapolation well below the data, which only includes teenagers. Children’s body proportions are different, so the prediction may not be reliable.</t>
        </is>
      </c>
      <c r="H26" s="14" t="n"/>
      <c r="I26" s="14" t="n"/>
      <c r="J26" s="14" t="n"/>
      <c r="K26" s="14" t="n"/>
      <c r="L26" s="14" t="n"/>
      <c r="M26" s="14" t="n"/>
      <c r="N26" s="15" t="n"/>
    </row>
    <row r="27">
      <c r="G27" s="16" t="n"/>
      <c r="N27" s="17" t="n"/>
    </row>
    <row r="28">
      <c r="G28" s="18" t="n"/>
      <c r="H28" s="19" t="n"/>
      <c r="I28" s="19" t="n"/>
      <c r="J28" s="19" t="n"/>
      <c r="K28" s="19" t="n"/>
      <c r="L28" s="19" t="n"/>
      <c r="M28" s="19" t="n"/>
      <c r="N28" s="20" t="n"/>
    </row>
    <row r="30">
      <c r="G30" s="12" t="inlineStr">
        <is>
          <t>Q4.  Which student has the residual furthest from 0? What does it tell you about that student?</t>
        </is>
      </c>
    </row>
    <row r="31"/>
    <row r="32">
      <c r="G32" s="13" t="inlineStr">
        <is>
          <t>Student 5 (arm span 162 cm, height 165 cm): residual +2.55 cm. They are 2.6 cm taller than the line predicts for their arm span.</t>
        </is>
      </c>
      <c r="H32" s="14" t="n"/>
      <c r="I32" s="14" t="n"/>
      <c r="J32" s="14" t="n"/>
      <c r="K32" s="14" t="n"/>
      <c r="L32" s="14" t="n"/>
      <c r="M32" s="14" t="n"/>
      <c r="N32" s="15" t="n"/>
    </row>
    <row r="33">
      <c r="G33" s="16" t="n"/>
      <c r="N33" s="17" t="n"/>
    </row>
    <row r="34">
      <c r="G34" s="18" t="n"/>
      <c r="H34" s="19" t="n"/>
      <c r="I34" s="19" t="n"/>
      <c r="J34" s="19" t="n"/>
      <c r="K34" s="19" t="n"/>
      <c r="L34" s="19" t="n"/>
      <c r="M34" s="19" t="n"/>
      <c r="N34" s="20" t="n"/>
    </row>
  </sheetData>
  <mergeCells count="14">
    <mergeCell ref="G8:N8"/>
    <mergeCell ref="G12:N13"/>
    <mergeCell ref="G20:N22"/>
    <mergeCell ref="G32:N34"/>
    <mergeCell ref="G14:N16"/>
    <mergeCell ref="A2:N2"/>
    <mergeCell ref="G6:N7"/>
    <mergeCell ref="G24:N25"/>
    <mergeCell ref="G18:N19"/>
    <mergeCell ref="G5:N5"/>
    <mergeCell ref="G9:N9"/>
    <mergeCell ref="G26:N28"/>
    <mergeCell ref="G30:N31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4   Is a straight line the right model?</t>
        </is>
      </c>
    </row>
    <row r="2" ht="30" customHeight="1">
      <c r="A2" s="2" t="inlineStr">
        <is>
          <t>A dealer recorded the age and sale price of 14 used cars of the same model. This is sample data. r is close to −1 – but is a straight line a good model?</t>
        </is>
      </c>
    </row>
    <row r="4">
      <c r="A4" s="4" t="inlineStr">
        <is>
          <t>The data (sample data)</t>
        </is>
      </c>
      <c r="G4" s="4" t="inlineStr">
        <is>
          <t>What to do</t>
        </is>
      </c>
    </row>
    <row r="5" ht="31.5" customHeight="1">
      <c r="A5" s="8" t="inlineStr">
        <is>
          <t>Car</t>
        </is>
      </c>
      <c r="B5" s="8" t="inlineStr">
        <is>
          <t>Age (years), x</t>
        </is>
      </c>
      <c r="C5" s="8" t="inlineStr">
        <is>
          <t>Value ($), y</t>
        </is>
      </c>
      <c r="D5" s="8" t="inlineStr">
        <is>
          <t>Predicted value, ŷ ($)</t>
        </is>
      </c>
      <c r="E5" s="8" t="inlineStr">
        <is>
          <t>Residual, y − ŷ ($)</t>
        </is>
      </c>
      <c r="G5" s="9" t="inlineStr">
        <is>
          <t>1. In D22, D23 and D24, find the gradient, y-intercept and r.</t>
        </is>
      </c>
    </row>
    <row r="6">
      <c r="A6" s="10" t="n">
        <v>1</v>
      </c>
      <c r="B6" s="11" t="n">
        <v>1</v>
      </c>
      <c r="C6" s="27" t="n">
        <v>29100</v>
      </c>
      <c r="D6" s="28">
        <f>$D$23+$D$22*B6</f>
        <v/>
      </c>
      <c r="E6" s="28">
        <f>C6-D6</f>
        <v/>
      </c>
      <c r="G6" s="9" t="inlineStr">
        <is>
          <t>2. Fill in the predicted values and residuals in columns D and E.</t>
        </is>
      </c>
    </row>
    <row r="7">
      <c r="A7" s="10" t="n">
        <v>2</v>
      </c>
      <c r="B7" s="11" t="n">
        <v>2</v>
      </c>
      <c r="C7" s="27" t="n">
        <v>23000</v>
      </c>
      <c r="D7" s="28">
        <f>$D$23+$D$22*B7</f>
        <v/>
      </c>
      <c r="E7" s="28">
        <f>C7-D7</f>
        <v/>
      </c>
      <c r="G7" s="9" t="inlineStr">
        <is>
          <t>3. Insert a scatter plot of value against age. Add a linear trendline.</t>
        </is>
      </c>
    </row>
    <row r="8">
      <c r="A8" s="10" t="n">
        <v>3</v>
      </c>
      <c r="B8" s="11" t="n">
        <v>2</v>
      </c>
      <c r="C8" s="27" t="n">
        <v>24400</v>
      </c>
      <c r="D8" s="28">
        <f>$D$23+$D$22*B8</f>
        <v/>
      </c>
      <c r="E8" s="28">
        <f>C8-D8</f>
        <v/>
      </c>
      <c r="G8" s="12" t="inlineStr">
        <is>
          <t>Check: r should be -0.959.</t>
        </is>
      </c>
    </row>
    <row r="9">
      <c r="A9" s="10" t="n">
        <v>4</v>
      </c>
      <c r="B9" s="11" t="n">
        <v>3</v>
      </c>
      <c r="C9" s="27" t="n">
        <v>18900</v>
      </c>
      <c r="D9" s="28">
        <f>$D$23+$D$22*B9</f>
        <v/>
      </c>
      <c r="E9" s="28">
        <f>C9-D9</f>
        <v/>
      </c>
    </row>
    <row r="10">
      <c r="A10" s="10" t="n">
        <v>5</v>
      </c>
      <c r="B10" s="11" t="n">
        <v>4</v>
      </c>
      <c r="C10" s="27" t="n">
        <v>16500</v>
      </c>
      <c r="D10" s="28">
        <f>$D$23+$D$22*B10</f>
        <v/>
      </c>
      <c r="E10" s="28">
        <f>C10-D10</f>
        <v/>
      </c>
      <c r="G10" s="4" t="inlineStr">
        <is>
          <t>Questions – worked answers</t>
        </is>
      </c>
    </row>
    <row r="11">
      <c r="A11" s="10" t="n">
        <v>6</v>
      </c>
      <c r="B11" s="11" t="n">
        <v>5</v>
      </c>
      <c r="C11" s="27" t="n">
        <v>12900</v>
      </c>
      <c r="D11" s="28">
        <f>$D$23+$D$22*B11</f>
        <v/>
      </c>
      <c r="E11" s="28">
        <f>C11-D11</f>
        <v/>
      </c>
      <c r="G11" s="12" t="inlineStr">
        <is>
          <t>Q1.  What is r? What would you conclude if you looked at r alone?</t>
        </is>
      </c>
    </row>
    <row r="12">
      <c r="A12" s="10" t="n">
        <v>7</v>
      </c>
      <c r="B12" s="11" t="n">
        <v>5</v>
      </c>
      <c r="C12" s="27" t="n">
        <v>13800</v>
      </c>
      <c r="D12" s="28">
        <f>$D$23+$D$22*B12</f>
        <v/>
      </c>
      <c r="E12" s="28">
        <f>C12-D12</f>
        <v/>
      </c>
      <c r="G12" s="13" t="inlineStr">
        <is>
          <t>r = -0.959, a very strong negative linear association. On its own, r suggests a straight line fits very well.</t>
        </is>
      </c>
      <c r="H12" s="14" t="n"/>
      <c r="I12" s="14" t="n"/>
      <c r="J12" s="14" t="n"/>
      <c r="K12" s="14" t="n"/>
      <c r="L12" s="14" t="n"/>
      <c r="M12" s="14" t="n"/>
      <c r="N12" s="15" t="n"/>
    </row>
    <row r="13">
      <c r="A13" s="10" t="n">
        <v>8</v>
      </c>
      <c r="B13" s="11" t="n">
        <v>6</v>
      </c>
      <c r="C13" s="27" t="n">
        <v>11200</v>
      </c>
      <c r="D13" s="28">
        <f>$D$23+$D$22*B13</f>
        <v/>
      </c>
      <c r="E13" s="28">
        <f>C13-D13</f>
        <v/>
      </c>
      <c r="G13" s="16" t="n"/>
      <c r="N13" s="17" t="n"/>
    </row>
    <row r="14">
      <c r="A14" s="10" t="n">
        <v>9</v>
      </c>
      <c r="B14" s="11" t="n">
        <v>7</v>
      </c>
      <c r="C14" s="27" t="n">
        <v>9000</v>
      </c>
      <c r="D14" s="28">
        <f>$D$23+$D$22*B14</f>
        <v/>
      </c>
      <c r="E14" s="28">
        <f>C14-D14</f>
        <v/>
      </c>
      <c r="G14" s="18" t="n"/>
      <c r="H14" s="19" t="n"/>
      <c r="I14" s="19" t="n"/>
      <c r="J14" s="19" t="n"/>
      <c r="K14" s="19" t="n"/>
      <c r="L14" s="19" t="n"/>
      <c r="M14" s="19" t="n"/>
      <c r="N14" s="20" t="n"/>
    </row>
    <row r="15">
      <c r="A15" s="10" t="n">
        <v>10</v>
      </c>
      <c r="B15" s="11" t="n">
        <v>8</v>
      </c>
      <c r="C15" s="27" t="n">
        <v>8000</v>
      </c>
      <c r="D15" s="28">
        <f>$D$23+$D$22*B15</f>
        <v/>
      </c>
      <c r="E15" s="28">
        <f>C15-D15</f>
        <v/>
      </c>
    </row>
    <row r="16">
      <c r="A16" s="10" t="n">
        <v>11</v>
      </c>
      <c r="B16" s="11" t="n">
        <v>9</v>
      </c>
      <c r="C16" s="27" t="n">
        <v>6200</v>
      </c>
      <c r="D16" s="28">
        <f>$D$23+$D$22*B16</f>
        <v/>
      </c>
      <c r="E16" s="28">
        <f>C16-D16</f>
        <v/>
      </c>
      <c r="G16" s="12" t="inlineStr">
        <is>
          <t>Q2.  Look at the scatter plot. Describe the form of the association.</t>
        </is>
      </c>
    </row>
    <row r="17">
      <c r="A17" s="10" t="n">
        <v>12</v>
      </c>
      <c r="B17" s="11" t="n">
        <v>10</v>
      </c>
      <c r="C17" s="27" t="n">
        <v>5400</v>
      </c>
      <c r="D17" s="28">
        <f>$D$23+$D$22*B17</f>
        <v/>
      </c>
      <c r="E17" s="28">
        <f>C17-D17</f>
        <v/>
      </c>
      <c r="G17" s="13" t="inlineStr">
        <is>
          <t>Non-linear. The value falls quickly in the first few years, then more and more slowly, so the points follow a curve that flattens out (like exponential decay).</t>
        </is>
      </c>
      <c r="H17" s="14" t="n"/>
      <c r="I17" s="14" t="n"/>
      <c r="J17" s="14" t="n"/>
      <c r="K17" s="14" t="n"/>
      <c r="L17" s="14" t="n"/>
      <c r="M17" s="14" t="n"/>
      <c r="N17" s="15" t="n"/>
    </row>
    <row r="18">
      <c r="A18" s="10" t="n">
        <v>13</v>
      </c>
      <c r="B18" s="11" t="n">
        <v>11</v>
      </c>
      <c r="C18" s="27" t="n">
        <v>4300</v>
      </c>
      <c r="D18" s="28">
        <f>$D$23+$D$22*B18</f>
        <v/>
      </c>
      <c r="E18" s="28">
        <f>C18-D18</f>
        <v/>
      </c>
      <c r="G18" s="16" t="n"/>
      <c r="N18" s="17" t="n"/>
    </row>
    <row r="19">
      <c r="A19" s="10" t="n">
        <v>14</v>
      </c>
      <c r="B19" s="11" t="n">
        <v>12</v>
      </c>
      <c r="C19" s="27" t="n">
        <v>3700</v>
      </c>
      <c r="D19" s="28">
        <f>$D$23+$D$22*B19</f>
        <v/>
      </c>
      <c r="E19" s="28">
        <f>C19-D19</f>
        <v/>
      </c>
      <c r="G19" s="18" t="n"/>
      <c r="H19" s="19" t="n"/>
      <c r="I19" s="19" t="n"/>
      <c r="J19" s="19" t="n"/>
      <c r="K19" s="19" t="n"/>
      <c r="L19" s="19" t="n"/>
      <c r="M19" s="19" t="n"/>
      <c r="N19" s="20" t="n"/>
    </row>
    <row r="21">
      <c r="A21" s="4" t="inlineStr">
        <is>
          <t>Your calculations</t>
        </is>
      </c>
      <c r="G21" s="12" t="inlineStr">
        <is>
          <t>Q3.  Use the line to predict the value of a 16-year-old car. What is wrong with the answer?</t>
        </is>
      </c>
    </row>
    <row r="22">
      <c r="A22" s="6" t="inlineStr">
        <is>
          <t>Gradient, b</t>
        </is>
      </c>
      <c r="D22" s="26">
        <f>SLOPE(C6:C19,B6:B19)</f>
        <v/>
      </c>
    </row>
    <row r="23">
      <c r="A23" s="6" t="inlineStr">
        <is>
          <t>y-intercept, a</t>
        </is>
      </c>
      <c r="D23" s="26">
        <f>INTERCEPT(C6:C19,B6:B19)</f>
        <v/>
      </c>
      <c r="G23" s="13" t="inlineStr">
        <is>
          <t>ŷ = 26,577 − 2,184.48 × 16 ≈ −$8,374 – a negative value, which is impossible. The straight line keeps falling, but a car’s value levels off.</t>
        </is>
      </c>
      <c r="H23" s="14" t="n"/>
      <c r="I23" s="14" t="n"/>
      <c r="J23" s="14" t="n"/>
      <c r="K23" s="14" t="n"/>
      <c r="L23" s="14" t="n"/>
      <c r="M23" s="14" t="n"/>
      <c r="N23" s="15" t="n"/>
    </row>
    <row r="24">
      <c r="A24" s="6" t="inlineStr">
        <is>
          <t>Correlation coefficient, r</t>
        </is>
      </c>
      <c r="D24" s="21">
        <f>CORREL(B6:B19,C6:C19)</f>
        <v/>
      </c>
      <c r="G24" s="16" t="n"/>
      <c r="N24" s="17" t="n"/>
    </row>
    <row r="25">
      <c r="G25" s="18" t="n"/>
      <c r="H25" s="19" t="n"/>
      <c r="I25" s="19" t="n"/>
      <c r="J25" s="19" t="n"/>
      <c r="K25" s="19" t="n"/>
      <c r="L25" s="19" t="n"/>
      <c r="M25" s="19" t="n"/>
      <c r="N25" s="20" t="n"/>
    </row>
    <row r="27">
      <c r="G27" s="12" t="inlineStr">
        <is>
          <t>Q4.  Look at the signs of the residuals in column E. Is a linear model appropriate? Explain.</t>
        </is>
      </c>
    </row>
    <row r="28"/>
    <row r="29">
      <c r="G29" s="13" t="inlineStr">
        <is>
          <t>No. The residuals follow a pattern (in age order: +++−−−−−−−−+++): positive for the newest and oldest cars and negative in the middle. A good linear model has residuals scattered randomly around 0. A strong r does not by itself mean a linear model is appropriate.</t>
        </is>
      </c>
      <c r="H29" s="14" t="n"/>
      <c r="I29" s="14" t="n"/>
      <c r="J29" s="14" t="n"/>
      <c r="K29" s="14" t="n"/>
      <c r="L29" s="14" t="n"/>
      <c r="M29" s="14" t="n"/>
      <c r="N29" s="15" t="n"/>
    </row>
    <row r="30">
      <c r="G30" s="16" t="n"/>
      <c r="N30" s="17" t="n"/>
    </row>
    <row r="31">
      <c r="G31" s="16" t="n"/>
      <c r="N31" s="17" t="n"/>
    </row>
    <row r="32">
      <c r="G32" s="18" t="n"/>
      <c r="H32" s="19" t="n"/>
      <c r="I32" s="19" t="n"/>
      <c r="J32" s="19" t="n"/>
      <c r="K32" s="19" t="n"/>
      <c r="L32" s="19" t="n"/>
      <c r="M32" s="19" t="n"/>
      <c r="N32" s="20" t="n"/>
    </row>
  </sheetData>
  <mergeCells count="14">
    <mergeCell ref="G8:N8"/>
    <mergeCell ref="G27:N28"/>
    <mergeCell ref="G17:N19"/>
    <mergeCell ref="G7:N7"/>
    <mergeCell ref="G21:N22"/>
    <mergeCell ref="A2:N2"/>
    <mergeCell ref="G11:N11"/>
    <mergeCell ref="G29:N32"/>
    <mergeCell ref="G16:N16"/>
    <mergeCell ref="G23:N25"/>
    <mergeCell ref="G6:N6"/>
    <mergeCell ref="G5:N5"/>
    <mergeCell ref="G12:N14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2026-10-17T21:06:47Z</dcterms:modified>
</cp:coreProperties>
</file>