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1 Scatter plot" sheetId="2" state="visible" r:id="rId2"/>
    <sheet name="2 Correlation" sheetId="3" state="visible" r:id="rId3"/>
    <sheet name="3 Regression line" sheetId="4" state="visible" r:id="rId4"/>
    <sheet name="4 Predictions" sheetId="5" state="visible" r:id="rId5"/>
    <sheet name="Try it answers" sheetId="6" state="visible" r:id="rId6"/>
  </sheets>
  <definedNames/>
  <calcPr calcId="124519" fullCalcOnLoad="1"/>
</workbook>
</file>

<file path=xl/styles.xml><?xml version="1.0" encoding="utf-8"?>
<styleSheet xmlns="http://schemas.openxmlformats.org/spreadsheetml/2006/main">
  <numFmts count="3">
    <numFmt numFmtId="164" formatCode="0.000"/>
    <numFmt numFmtId="165" formatCode="0.0000"/>
    <numFmt numFmtId="166" formatCode="0.0"/>
  </numFmts>
  <fonts count="9">
    <font>
      <name val="Calibri"/>
      <family val="2"/>
      <color theme="1"/>
      <sz val="11"/>
      <scheme val="minor"/>
    </font>
    <font>
      <name val="Arial"/>
      <b val="1"/>
      <color rgb="00FFFFFF"/>
      <sz val="16"/>
    </font>
    <font>
      <name val="Arial"/>
      <i val="1"/>
      <color rgb="00404040"/>
      <sz val="10"/>
    </font>
    <font>
      <name val="Arial"/>
      <b val="1"/>
      <color rgb="001F4E5F"/>
      <sz val="11"/>
    </font>
    <font>
      <name val="Arial"/>
      <sz val="10"/>
    </font>
    <font>
      <name val="Arial"/>
      <color rgb="000000FF"/>
      <sz val="10"/>
    </font>
    <font>
      <name val="Arial"/>
      <b val="1"/>
      <color rgb="001F4E5F"/>
      <sz val="10"/>
    </font>
    <font>
      <name val="Arial"/>
      <b val="1"/>
      <sz val="10"/>
    </font>
    <font>
      <name val="Arial"/>
      <b val="1"/>
      <color rgb="007F3F00"/>
      <sz val="10"/>
    </font>
  </fonts>
  <fills count="5">
    <fill>
      <patternFill/>
    </fill>
    <fill>
      <patternFill patternType="gray125"/>
    </fill>
    <fill>
      <patternFill patternType="solid">
        <fgColor rgb="001F4E5F"/>
      </patternFill>
    </fill>
    <fill>
      <patternFill patternType="solid">
        <fgColor rgb="00FFF2A8"/>
      </patternFill>
    </fill>
    <fill>
      <patternFill patternType="solid">
        <fgColor rgb="00D9E7EC"/>
      </patternFill>
    </fill>
  </fills>
  <borders count="7">
    <border>
      <left/>
      <right/>
      <top/>
      <bottom/>
      <diagonal/>
    </border>
    <border>
      <left style="thin">
        <color rgb="00A6A6A6"/>
      </left>
      <right style="thin">
        <color rgb="00A6A6A6"/>
      </right>
      <top style="thin">
        <color rgb="00A6A6A6"/>
      </top>
      <bottom style="thin">
        <color rgb="00A6A6A6"/>
      </bottom>
    </border>
    <border>
      <left/>
      <right/>
      <top style="thin">
        <color rgb="00A6A6A6"/>
      </top>
      <bottom/>
      <diagonal/>
    </border>
    <border>
      <left/>
      <right style="thin">
        <color rgb="00A6A6A6"/>
      </right>
      <top style="thin">
        <color rgb="00A6A6A6"/>
      </top>
      <bottom/>
      <diagonal/>
    </border>
    <border>
      <left/>
      <right/>
      <top style="thin">
        <color rgb="00A6A6A6"/>
      </top>
      <bottom style="thin">
        <color rgb="00A6A6A6"/>
      </bottom>
      <diagonal/>
    </border>
    <border>
      <left/>
      <right style="thin">
        <color rgb="00A6A6A6"/>
      </right>
      <top style="thin">
        <color rgb="00A6A6A6"/>
      </top>
      <bottom style="thin">
        <color rgb="00A6A6A6"/>
      </bottom>
      <diagonal/>
    </border>
    <border/>
  </borders>
  <cellStyleXfs count="1">
    <xf numFmtId="0" fontId="0" fillId="0" borderId="0"/>
  </cellStyleXfs>
  <cellXfs count="23">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3" fillId="0" borderId="0" pivotButton="0" quotePrefix="0" xfId="0"/>
    <xf numFmtId="0" fontId="4" fillId="0" borderId="0" pivotButton="0" quotePrefix="0" xfId="0"/>
    <xf numFmtId="1" fontId="5" fillId="3" borderId="1" pivotButton="0" quotePrefix="0" xfId="0"/>
    <xf numFmtId="1" fontId="4" fillId="0" borderId="1" pivotButton="0" quotePrefix="0" xfId="0"/>
    <xf numFmtId="0" fontId="6" fillId="4" borderId="1" applyAlignment="1" pivotButton="0" quotePrefix="0" xfId="0">
      <alignment horizontal="center" vertical="center" wrapText="1"/>
    </xf>
    <xf numFmtId="0" fontId="7" fillId="0" borderId="0" pivotButton="0" quotePrefix="0" xfId="0"/>
    <xf numFmtId="0" fontId="4" fillId="0" borderId="0" applyAlignment="1" pivotButton="0" quotePrefix="0" xfId="0">
      <alignment vertical="top" wrapText="1"/>
    </xf>
    <xf numFmtId="1" fontId="4" fillId="0" borderId="1" applyAlignment="1" pivotButton="0" quotePrefix="0" xfId="0">
      <alignment horizontal="center"/>
    </xf>
    <xf numFmtId="2" fontId="4" fillId="0" borderId="1" pivotButton="0" quotePrefix="0" xfId="0"/>
    <xf numFmtId="0" fontId="8" fillId="0" borderId="0" applyAlignment="1" pivotButton="0" quotePrefix="0" xfId="0">
      <alignment vertical="top" wrapText="1"/>
    </xf>
    <xf numFmtId="164" fontId="7" fillId="0" borderId="1" pivotButton="0" quotePrefix="0" xfId="0"/>
    <xf numFmtId="0" fontId="7" fillId="0" borderId="1" pivotButton="0" quotePrefix="0" xfId="0"/>
    <xf numFmtId="0" fontId="0" fillId="0" borderId="4" pivotButton="0" quotePrefix="0" xfId="0"/>
    <xf numFmtId="0" fontId="0" fillId="0" borderId="5" pivotButton="0" quotePrefix="0" xfId="0"/>
    <xf numFmtId="165" fontId="4" fillId="0" borderId="1" pivotButton="0" quotePrefix="0" xfId="0"/>
    <xf numFmtId="166" fontId="5" fillId="3" borderId="1" pivotButton="0" quotePrefix="0" xfId="0"/>
    <xf numFmtId="2" fontId="7" fillId="0" borderId="1" pivotButton="0" quotePrefix="0" xfId="0"/>
    <xf numFmtId="0" fontId="4" fillId="0" borderId="1" applyAlignment="1" pivotButton="0" quotePrefix="0" xfId="0">
      <alignment horizontal="center"/>
    </xf>
    <xf numFmtId="0" fontId="4" fillId="0" borderId="0" applyAlignment="1" pivotButton="0" quotePrefix="0" xfId="0">
      <alignment vertical="top"/>
    </xf>
    <xf numFmtId="1" fontId="4" fillId="0" borderId="6"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style val="13"/>
  <chart>
    <title>
      <tx>
        <rich>
          <a:bodyPr/>
          <a:p>
            <a:pPr>
              <a:defRPr/>
            </a:pPr>
            <a:r>
              <a:t>Study time and exam marks</a:t>
            </a:r>
          </a:p>
        </rich>
      </tx>
    </title>
    <plotArea>
      <scatterChart>
        <ser>
          <idx val="0"/>
          <order val="0"/>
          <tx>
            <v>Data</v>
          </tx>
          <spPr>
            <a:ln>
              <a:noFill/>
              <a:prstDash val="solid"/>
            </a:ln>
          </spPr>
          <marker>
            <symbol val="circle"/>
            <size val="7"/>
            <spPr>
              <a:solidFill>
                <a:srgbClr val="4A7EBB"/>
              </a:solidFill>
              <a:ln>
                <a:solidFill>
                  <a:srgbClr val="4A7EBB"/>
                </a:solidFill>
                <a:prstDash val="solid"/>
              </a:ln>
            </spPr>
          </marker>
          <xVal>
            <numRef>
              <f>'1 Scatter plot'!$B$6:$B$20</f>
            </numRef>
          </xVal>
          <yVal>
            <numRef>
              <f>'1 Scatter plot'!$C$6:$C$20</f>
            </numRef>
          </yVal>
        </ser>
        <axId val="10"/>
        <axId val="20"/>
      </scatterChart>
      <valAx>
        <axId val="10"/>
        <scaling>
          <orientation val="minMax"/>
        </scaling>
        <delete val="0"/>
        <axPos val="b"/>
        <majorGridlines/>
        <title>
          <tx>
            <rich>
              <a:bodyPr/>
              <a:p>
                <a:pPr>
                  <a:defRPr/>
                </a:pPr>
                <a:r>
                  <a:t>Study time (hours per week)</a:t>
                </a:r>
              </a:p>
            </rich>
          </tx>
        </title>
        <majorTickMark val="none"/>
        <minorTickMark val="none"/>
        <txPr>
          <a:bodyPr/>
          <a:p>
            <a:pPr>
              <a:defRPr sz="900"/>
            </a:pPr>
            <a:r>
              <a:t/>
            </a:r>
            <a:endParaRPr sz="900"/>
          </a:p>
        </txPr>
        <crossAx val="20"/>
      </valAx>
      <valAx>
        <axId val="20"/>
        <scaling>
          <orientation val="minMax"/>
        </scaling>
        <delete val="0"/>
        <axPos val="l"/>
        <majorGridlines/>
        <title>
          <tx>
            <rich>
              <a:bodyPr/>
              <a:p>
                <a:pPr>
                  <a:defRPr/>
                </a:pPr>
                <a:r>
                  <a:t>Exam mark (%)</a:t>
                </a:r>
              </a:p>
            </rich>
          </tx>
        </title>
        <majorTickMark val="none"/>
        <minorTickMark val="none"/>
        <txPr>
          <a:bodyPr/>
          <a:p>
            <a:pPr>
              <a:defRPr sz="900"/>
            </a:pPr>
            <a:r>
              <a:t/>
            </a:r>
            <a:endParaRPr sz="900"/>
          </a:p>
        </txPr>
        <crossAx val="10"/>
      </valAx>
    </plotArea>
    <plotVisOnly val="1"/>
    <dispBlanksAs val="gap"/>
  </chart>
</chartSpace>
</file>

<file path=xl/charts/chart2.xml><?xml version="1.0" encoding="utf-8"?>
<chartSpace xmlns:a="http://schemas.openxmlformats.org/drawingml/2006/main" xmlns="http://schemas.openxmlformats.org/drawingml/2006/chart">
  <style val="13"/>
  <chart>
    <title>
      <tx>
        <rich>
          <a:bodyPr/>
          <a:p>
            <a:pPr>
              <a:defRPr/>
            </a:pPr>
            <a:r>
              <a:t>Least-squares regression line</a:t>
            </a:r>
          </a:p>
        </rich>
      </tx>
    </title>
    <plotArea>
      <scatterChart>
        <ser>
          <idx val="0"/>
          <order val="0"/>
          <tx>
            <v>Data</v>
          </tx>
          <spPr>
            <a:ln>
              <a:noFill/>
              <a:prstDash val="solid"/>
            </a:ln>
          </spPr>
          <marker>
            <symbol val="circle"/>
            <size val="7"/>
            <spPr>
              <a:solidFill>
                <a:srgbClr val="4A7EBB"/>
              </a:solidFill>
              <a:ln>
                <a:solidFill>
                  <a:srgbClr val="4A7EBB"/>
                </a:solidFill>
                <a:prstDash val="solid"/>
              </a:ln>
            </spPr>
          </marker>
          <trendline>
            <trendlineType val="linear"/>
            <dispRSqr val="0"/>
            <dispEq val="1"/>
          </trendline>
          <xVal>
            <numRef>
              <f>'3 Regression line'!$B$6:$B$20</f>
            </numRef>
          </xVal>
          <yVal>
            <numRef>
              <f>'3 Regression line'!$C$6:$C$20</f>
            </numRef>
          </yVal>
        </ser>
        <axId val="10"/>
        <axId val="20"/>
      </scatterChart>
      <valAx>
        <axId val="10"/>
        <scaling>
          <orientation val="minMax"/>
        </scaling>
        <delete val="0"/>
        <axPos val="b"/>
        <majorGridlines/>
        <title>
          <tx>
            <rich>
              <a:bodyPr/>
              <a:p>
                <a:pPr>
                  <a:defRPr/>
                </a:pPr>
                <a:r>
                  <a:t>Study time (hours per week)</a:t>
                </a:r>
              </a:p>
            </rich>
          </tx>
        </title>
        <majorTickMark val="none"/>
        <minorTickMark val="none"/>
        <txPr>
          <a:bodyPr/>
          <a:p>
            <a:pPr>
              <a:defRPr sz="900"/>
            </a:pPr>
            <a:r>
              <a:t/>
            </a:r>
            <a:endParaRPr sz="900"/>
          </a:p>
        </txPr>
        <crossAx val="20"/>
      </valAx>
      <valAx>
        <axId val="20"/>
        <scaling>
          <orientation val="minMax"/>
        </scaling>
        <delete val="0"/>
        <axPos val="l"/>
        <majorGridlines/>
        <title>
          <tx>
            <rich>
              <a:bodyPr/>
              <a:p>
                <a:pPr>
                  <a:defRPr/>
                </a:pPr>
                <a:r>
                  <a:t>Exam mark (%)</a:t>
                </a:r>
              </a:p>
            </rich>
          </tx>
        </title>
        <majorTickMark val="none"/>
        <minorTickMark val="none"/>
        <txPr>
          <a:bodyPr/>
          <a:p>
            <a:pPr>
              <a:defRPr sz="900"/>
            </a:pPr>
            <a:r>
              <a:t/>
            </a:r>
            <a:endParaRPr sz="900"/>
          </a:p>
        </txPr>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14</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16</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C30"/>
  <sheetViews>
    <sheetView showGridLines="0" workbookViewId="0">
      <selection activeCell="A1" sqref="A1"/>
    </sheetView>
  </sheetViews>
  <sheetFormatPr baseColWidth="8" defaultRowHeight="15"/>
  <cols>
    <col width="26" customWidth="1" min="1" max="1"/>
    <col width="62" customWidth="1" min="2" max="2"/>
    <col width="58" customWidth="1" min="3" max="3"/>
  </cols>
  <sheetData>
    <row r="1" ht="31.5" customHeight="1">
      <c r="A1" s="1" t="inlineStr">
        <is>
          <t>Bivariate Data Analysis – Spreadsheet Tutorial</t>
        </is>
      </c>
    </row>
    <row r="2" ht="30" customHeight="1">
      <c r="A2" s="2" t="inlineStr">
        <is>
          <t>Work through the tabs in order. Every tab uses the same sample data from tab 1, so change a yellow cell there and watch the graphs, the correlation and the regression line update.</t>
        </is>
      </c>
    </row>
    <row r="4">
      <c r="A4" s="3" t="inlineStr">
        <is>
          <t>What you will learn</t>
        </is>
      </c>
    </row>
    <row r="5">
      <c r="A5" s="4" t="inlineStr">
        <is>
          <t xml:space="preserve">   1.  Construct a scatter plot of a bivariate dataset, with the variables on the correct axes.</t>
        </is>
      </c>
    </row>
    <row r="6">
      <c r="A6" s="4" t="inlineStr">
        <is>
          <t xml:space="preserve">   2.  Calculate Pearson’s correlation coefficient r and describe the strength and direction of the association.</t>
        </is>
      </c>
    </row>
    <row r="7">
      <c r="A7" s="4" t="inlineStr">
        <is>
          <t xml:space="preserve">   3.  Construct the least-squares regression line and interpret its gradient and y-intercept.</t>
        </is>
      </c>
    </row>
    <row r="8">
      <c r="A8" s="4" t="inlineStr">
        <is>
          <t xml:space="preserve">   4.  Use the line to make predictions, and recognise the limits of interpolation and extrapolation.</t>
        </is>
      </c>
    </row>
    <row r="10">
      <c r="A10" s="3" t="inlineStr">
        <is>
          <t>Colour key</t>
        </is>
      </c>
    </row>
    <row r="11">
      <c r="A11" s="5" t="n">
        <v>100</v>
      </c>
      <c r="B11" s="4" t="inlineStr">
        <is>
          <t>Yellow cell with blue text = an input. Change these to explore.</t>
        </is>
      </c>
    </row>
    <row r="12">
      <c r="A12" s="6">
        <f>A11*2</f>
        <v/>
      </c>
      <c r="B12" s="4" t="inlineStr">
        <is>
          <t>White cell with black text = a formula. Click it to read the formula, but don't type over it.</t>
        </is>
      </c>
    </row>
    <row r="13">
      <c r="A13" s="3" t="inlineStr">
        <is>
          <t>Try it</t>
        </is>
      </c>
      <c r="B13" s="4" t="inlineStr">
        <is>
          <t>Short tasks on each tab. Answers are on the last tab.</t>
        </is>
      </c>
    </row>
    <row r="15">
      <c r="A15" s="3" t="inlineStr">
        <is>
          <t>The tabs</t>
        </is>
      </c>
    </row>
    <row r="16" ht="15" customHeight="1">
      <c r="A16" s="7" t="inlineStr">
        <is>
          <t>Tab</t>
        </is>
      </c>
      <c r="B16" s="7" t="inlineStr">
        <is>
          <t>What you model</t>
        </is>
      </c>
      <c r="C16" s="7" t="inlineStr">
        <is>
          <t>Key formula or function</t>
        </is>
      </c>
    </row>
    <row r="17">
      <c r="A17" s="4" t="inlineStr">
        <is>
          <t>1 Scatter plot</t>
        </is>
      </c>
      <c r="B17" s="4" t="inlineStr">
        <is>
          <t>Study time and exam marks for 15 students (sample data)</t>
        </is>
      </c>
      <c r="C17" s="4" t="inlineStr">
        <is>
          <t>Insert &gt; Scatter</t>
        </is>
      </c>
    </row>
    <row r="18">
      <c r="A18" s="4" t="inlineStr">
        <is>
          <t>2 Correlation</t>
        </is>
      </c>
      <c r="B18" s="4" t="inlineStr">
        <is>
          <t>Pearson’s correlation coefficient</t>
        </is>
      </c>
      <c r="C18" s="4" t="inlineStr">
        <is>
          <t>CORREL</t>
        </is>
      </c>
    </row>
    <row r="19">
      <c r="A19" s="4" t="inlineStr">
        <is>
          <t>3 Regression line</t>
        </is>
      </c>
      <c r="B19" s="4" t="inlineStr">
        <is>
          <t>The least-squares regression line and residuals</t>
        </is>
      </c>
      <c r="C19" s="4" t="inlineStr">
        <is>
          <t>SLOPE,  INTERCEPT,  trendline</t>
        </is>
      </c>
    </row>
    <row r="20">
      <c r="A20" s="4" t="inlineStr">
        <is>
          <t>4 Predictions</t>
        </is>
      </c>
      <c r="B20" s="4" t="inlineStr">
        <is>
          <t>Predicting marks, and when not to trust a prediction</t>
        </is>
      </c>
      <c r="C20" s="4" t="inlineStr">
        <is>
          <t>ŷ = a + bx,  FORECAST</t>
        </is>
      </c>
    </row>
    <row r="23">
      <c r="A23" s="3" t="inlineStr">
        <is>
          <t>Spreadsheet skills you will use</t>
        </is>
      </c>
    </row>
    <row r="24">
      <c r="A24" s="8" t="inlineStr">
        <is>
          <t>Cell references</t>
        </is>
      </c>
      <c r="B24" s="4" t="inlineStr">
        <is>
          <t>The formula =B6-$D$23 uses the values in those cells. Change B6 and the answer updates.</t>
        </is>
      </c>
    </row>
    <row r="25">
      <c r="A25" s="8" t="inlineStr">
        <is>
          <t>Ranges</t>
        </is>
      </c>
      <c r="B25" s="4" t="inlineStr">
        <is>
          <t>B6:B20 means every cell from B6 down to B20.</t>
        </is>
      </c>
    </row>
    <row r="26">
      <c r="A26" s="8" t="inlineStr">
        <is>
          <t>CORREL</t>
        </is>
      </c>
      <c r="B26" s="4" t="inlineStr">
        <is>
          <t>CORREL(x values, y values) gives Pearson’s correlation coefficient r.</t>
        </is>
      </c>
    </row>
    <row r="27">
      <c r="A27" s="8" t="inlineStr">
        <is>
          <t>SLOPE and INTERCEPT</t>
        </is>
      </c>
      <c r="B27" s="4" t="inlineStr">
        <is>
          <t>SLOPE(y values, x values) and INTERCEPT(y values, x values). Note the y values come first.</t>
        </is>
      </c>
    </row>
    <row r="28">
      <c r="A28" s="8" t="inlineStr">
        <is>
          <t>Insert a scatter plot</t>
        </is>
      </c>
      <c r="B28" s="4" t="inlineStr">
        <is>
          <t>Select the x and y columns with their headings, then Insert &gt; Charts &gt; Scatter (X Y). Add a chart title and axis titles.</t>
        </is>
      </c>
    </row>
    <row r="29">
      <c r="A29" s="8" t="inlineStr">
        <is>
          <t>Add a trendline</t>
        </is>
      </c>
      <c r="B29" s="4" t="inlineStr">
        <is>
          <t>Click the points, then Add Chart Element &gt; Trendline &gt; Linear. Tick Display Equation on chart.</t>
        </is>
      </c>
    </row>
    <row r="30">
      <c r="A30" s="8" t="inlineStr">
        <is>
          <t>If you get lost</t>
        </is>
      </c>
      <c r="B30" s="4" t="inlineStr">
        <is>
          <t>Press Ctrl+Z (Cmd+Z on a Mac) to undo, or close without saving and reopen the file.</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6"/>
  <sheetViews>
    <sheetView showGridLines="0" workbookViewId="0">
      <selection activeCell="A1" sqref="A1"/>
    </sheetView>
  </sheetViews>
  <sheetFormatPr baseColWidth="8" defaultRowHeight="15"/>
  <cols>
    <col width="12" customWidth="1" min="1" max="1"/>
    <col width="16" customWidth="1" min="2" max="2"/>
    <col width="16" customWidth="1" min="3" max="3"/>
    <col width="16" customWidth="1" min="4" max="4"/>
    <col width="16" customWidth="1" min="5" max="5"/>
    <col width="16" customWidth="1" min="6" max="6"/>
    <col width="3" customWidth="1" min="7" max="7"/>
    <col width="11" customWidth="1" min="8" max="8"/>
  </cols>
  <sheetData>
    <row r="1" ht="31.5" customHeight="1">
      <c r="A1" s="1" t="inlineStr">
        <is>
          <t>1   Scatter plot</t>
        </is>
      </c>
    </row>
    <row r="2" ht="30" customHeight="1">
      <c r="A2" s="2" t="inlineStr">
        <is>
          <t>A teacher asked 15 students how many hours a week they spent studying for an exam, then recorded their marks. This is sample data. Each student gives a pair of values, so this is bivariate data.</t>
        </is>
      </c>
    </row>
    <row r="4">
      <c r="A4" s="3" t="inlineStr">
        <is>
          <t>The data – change these (sample data)</t>
        </is>
      </c>
      <c r="H4" s="3" t="inlineStr">
        <is>
          <t>How it works</t>
        </is>
      </c>
    </row>
    <row r="5" ht="31.5" customHeight="1">
      <c r="A5" s="7" t="inlineStr">
        <is>
          <t>Student</t>
        </is>
      </c>
      <c r="B5" s="7" t="inlineStr">
        <is>
          <t>Study time (hours per week), x</t>
        </is>
      </c>
      <c r="C5" s="7" t="inlineStr">
        <is>
          <t>Exam mark (%), y</t>
        </is>
      </c>
      <c r="H5" s="9" t="inlineStr">
        <is>
          <t>Bivariate data has two variables for each person. The independent variable here is study time, and the dependent variable is the exam mark: the mark may depend on the study time, not the other way round.</t>
        </is>
      </c>
    </row>
    <row r="6">
      <c r="A6" s="10" t="n">
        <v>1</v>
      </c>
      <c r="B6" s="5" t="n">
        <v>2</v>
      </c>
      <c r="C6" s="5" t="n">
        <v>45</v>
      </c>
    </row>
    <row r="7">
      <c r="A7" s="10" t="n">
        <v>2</v>
      </c>
      <c r="B7" s="5" t="n">
        <v>3</v>
      </c>
      <c r="C7" s="5" t="n">
        <v>50</v>
      </c>
    </row>
    <row r="8">
      <c r="A8" s="10" t="n">
        <v>3</v>
      </c>
      <c r="B8" s="5" t="n">
        <v>4</v>
      </c>
      <c r="C8" s="5" t="n">
        <v>48</v>
      </c>
      <c r="H8" s="9" t="inlineStr">
        <is>
          <t>The independent variable goes on the horizontal (x) axis and the dependent variable on the vertical (y) axis.</t>
        </is>
      </c>
    </row>
    <row r="9">
      <c r="A9" s="10" t="n">
        <v>4</v>
      </c>
      <c r="B9" s="5" t="n">
        <v>4</v>
      </c>
      <c r="C9" s="5" t="n">
        <v>58</v>
      </c>
    </row>
    <row r="10">
      <c r="A10" s="10" t="n">
        <v>5</v>
      </c>
      <c r="B10" s="5" t="n">
        <v>5</v>
      </c>
      <c r="C10" s="5" t="n">
        <v>55</v>
      </c>
      <c r="H10" s="9" t="inlineStr">
        <is>
          <t>To make the chart: select B5:C20, then Insert &gt; Charts &gt; Scatter (X Y). Add a chart title and axis titles.</t>
        </is>
      </c>
    </row>
    <row r="11">
      <c r="A11" s="10" t="n">
        <v>6</v>
      </c>
      <c r="B11" s="5" t="n">
        <v>6</v>
      </c>
      <c r="C11" s="5" t="n">
        <v>62</v>
      </c>
    </row>
    <row r="12">
      <c r="A12" s="10" t="n">
        <v>7</v>
      </c>
      <c r="B12" s="5" t="n">
        <v>6</v>
      </c>
      <c r="C12" s="5" t="n">
        <v>66</v>
      </c>
      <c r="H12" s="9" t="inlineStr">
        <is>
          <t>Describe a scatter plot by its form (linear or non-linear), its direction (positive or negative) and its strength (strong, moderate or weak).</t>
        </is>
      </c>
    </row>
    <row r="13">
      <c r="A13" s="10" t="n">
        <v>8</v>
      </c>
      <c r="B13" s="5" t="n">
        <v>7</v>
      </c>
      <c r="C13" s="5" t="n">
        <v>64</v>
      </c>
    </row>
    <row r="14">
      <c r="A14" s="10" t="n">
        <v>9</v>
      </c>
      <c r="B14" s="5" t="n">
        <v>8</v>
      </c>
      <c r="C14" s="5" t="n">
        <v>70</v>
      </c>
    </row>
    <row r="15">
      <c r="A15" s="10" t="n">
        <v>10</v>
      </c>
      <c r="B15" s="5" t="n">
        <v>8</v>
      </c>
      <c r="C15" s="5" t="n">
        <v>74</v>
      </c>
    </row>
    <row r="16">
      <c r="A16" s="10" t="n">
        <v>11</v>
      </c>
      <c r="B16" s="5" t="n">
        <v>9</v>
      </c>
      <c r="C16" s="5" t="n">
        <v>72</v>
      </c>
    </row>
    <row r="17">
      <c r="A17" s="10" t="n">
        <v>12</v>
      </c>
      <c r="B17" s="5" t="n">
        <v>10</v>
      </c>
      <c r="C17" s="5" t="n">
        <v>80</v>
      </c>
    </row>
    <row r="18">
      <c r="A18" s="10" t="n">
        <v>13</v>
      </c>
      <c r="B18" s="5" t="n">
        <v>11</v>
      </c>
      <c r="C18" s="5" t="n">
        <v>78</v>
      </c>
    </row>
    <row r="19">
      <c r="A19" s="10" t="n">
        <v>14</v>
      </c>
      <c r="B19" s="5" t="n">
        <v>12</v>
      </c>
      <c r="C19" s="5" t="n">
        <v>85</v>
      </c>
    </row>
    <row r="20">
      <c r="A20" s="10" t="n">
        <v>15</v>
      </c>
      <c r="B20" s="5" t="n">
        <v>13</v>
      </c>
      <c r="C20" s="5" t="n">
        <v>88</v>
      </c>
    </row>
    <row r="22">
      <c r="A22" s="3" t="inlineStr">
        <is>
          <t>Results</t>
        </is>
      </c>
    </row>
    <row r="23">
      <c r="A23" s="4" t="inlineStr">
        <is>
          <t>Number of students</t>
        </is>
      </c>
      <c r="D23" s="6">
        <f>COUNT(B6:B20)</f>
        <v/>
      </c>
    </row>
    <row r="24">
      <c r="A24" s="4" t="inlineStr">
        <is>
          <t>Mean study time, x̄ (hours)</t>
        </is>
      </c>
      <c r="D24" s="11">
        <f>AVERAGE(B6:B20)</f>
        <v/>
      </c>
    </row>
    <row r="25">
      <c r="A25" s="4" t="inlineStr">
        <is>
          <t>Mean exam mark, ȳ (%)</t>
        </is>
      </c>
      <c r="D25" s="11">
        <f>AVERAGE(C6:C20)</f>
        <v/>
      </c>
    </row>
    <row r="31">
      <c r="H31" s="3" t="inlineStr">
        <is>
          <t>Try it</t>
        </is>
      </c>
    </row>
    <row r="32">
      <c r="H32" s="9" t="inlineStr">
        <is>
          <t>1. Describe the association shown by the scatter plot: its form, direction and strength.</t>
        </is>
      </c>
    </row>
    <row r="33">
      <c r="H33" s="9" t="inlineStr">
        <is>
          <t>2. Change student 15’s mark to 40. What happens on the scatter plot? (Look at tab 2 to see the effect on r.)</t>
        </is>
      </c>
    </row>
    <row r="34"/>
    <row r="35">
      <c r="H35" s="9" t="inlineStr">
        <is>
          <t>3. Why should study time be on the x-axis and not the exam mark?</t>
        </is>
      </c>
    </row>
    <row r="36">
      <c r="H36" s="2" t="inlineStr">
        <is>
          <t>Set student 15’s mark back to 88 when you finish.</t>
        </is>
      </c>
    </row>
  </sheetData>
  <mergeCells count="10">
    <mergeCell ref="H10:Q11"/>
    <mergeCell ref="H36:Q36"/>
    <mergeCell ref="H32:Q32"/>
    <mergeCell ref="H8:Q9"/>
    <mergeCell ref="H35:Q35"/>
    <mergeCell ref="A2:Q2"/>
    <mergeCell ref="H12:Q13"/>
    <mergeCell ref="H33:Q34"/>
    <mergeCell ref="A1:Q1"/>
    <mergeCell ref="H5:Q7"/>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Q27"/>
  <sheetViews>
    <sheetView showGridLines="0" workbookViewId="0">
      <selection activeCell="A1" sqref="A1"/>
    </sheetView>
  </sheetViews>
  <sheetFormatPr baseColWidth="8" defaultRowHeight="15"/>
  <cols>
    <col width="12" customWidth="1" min="1" max="1"/>
    <col width="16" customWidth="1" min="2" max="2"/>
    <col width="16" customWidth="1" min="3" max="3"/>
    <col width="16" customWidth="1" min="4" max="4"/>
    <col width="16" customWidth="1" min="5" max="5"/>
    <col width="16" customWidth="1" min="6" max="6"/>
    <col width="3" customWidth="1" min="7" max="7"/>
    <col width="11" customWidth="1" min="8" max="8"/>
  </cols>
  <sheetData>
    <row r="1" ht="31.5" customHeight="1">
      <c r="A1" s="1" t="inlineStr">
        <is>
          <t>2   Pearson’s correlation coefficient, r</t>
        </is>
      </c>
    </row>
    <row r="2" ht="30" customHeight="1">
      <c r="A2" s="2" t="inlineStr">
        <is>
          <t>r measures how close the points are to a straight line (strength) and whether the line rises or falls (direction). The data is linked to tab 1.</t>
        </is>
      </c>
    </row>
    <row r="4">
      <c r="A4" s="3" t="inlineStr">
        <is>
          <t>Data from tab 1, and the deviations from the means</t>
        </is>
      </c>
      <c r="H4" s="3" t="inlineStr">
        <is>
          <t>How it works</t>
        </is>
      </c>
    </row>
    <row r="5" ht="31.5" customHeight="1">
      <c r="A5" s="7" t="inlineStr">
        <is>
          <t>Student</t>
        </is>
      </c>
      <c r="B5" s="7" t="inlineStr">
        <is>
          <t>x</t>
        </is>
      </c>
      <c r="C5" s="7" t="inlineStr">
        <is>
          <t>y</t>
        </is>
      </c>
      <c r="D5" s="7" t="inlineStr">
        <is>
          <t>x − x̄</t>
        </is>
      </c>
      <c r="E5" s="7" t="inlineStr">
        <is>
          <t>y − ȳ</t>
        </is>
      </c>
      <c r="F5" s="7" t="inlineStr">
        <is>
          <t>(x − x̄)(y − ȳ)</t>
        </is>
      </c>
      <c r="H5" s="9" t="inlineStr">
        <is>
          <t>Pearson’s correlation coefficient r measures the strength and direction of a LINEAR association. It is always between −1 and 1.</t>
        </is>
      </c>
    </row>
    <row r="6">
      <c r="A6" s="10" t="n">
        <v>1</v>
      </c>
      <c r="B6" s="6">
        <f>'1 Scatter plot'!B6</f>
        <v/>
      </c>
      <c r="C6" s="6">
        <f>'1 Scatter plot'!C6</f>
        <v/>
      </c>
      <c r="D6" s="11">
        <f>B6-$D$23</f>
        <v/>
      </c>
      <c r="E6" s="11">
        <f>C6-$D$24</f>
        <v/>
      </c>
      <c r="F6" s="11">
        <f>D6*E6</f>
        <v/>
      </c>
    </row>
    <row r="7">
      <c r="A7" s="10" t="n">
        <v>2</v>
      </c>
      <c r="B7" s="6">
        <f>'1 Scatter plot'!B7</f>
        <v/>
      </c>
      <c r="C7" s="6">
        <f>'1 Scatter plot'!C7</f>
        <v/>
      </c>
      <c r="D7" s="11">
        <f>B7-$D$23</f>
        <v/>
      </c>
      <c r="E7" s="11">
        <f>C7-$D$24</f>
        <v/>
      </c>
      <c r="F7" s="11">
        <f>D7*E7</f>
        <v/>
      </c>
      <c r="H7" s="12" t="inlineStr">
        <is>
          <t xml:space="preserve">    Cell D25:   =CORREL(B6:B20,C6:C20)</t>
        </is>
      </c>
    </row>
    <row r="8">
      <c r="A8" s="10" t="n">
        <v>3</v>
      </c>
      <c r="B8" s="6">
        <f>'1 Scatter plot'!B8</f>
        <v/>
      </c>
      <c r="C8" s="6">
        <f>'1 Scatter plot'!C8</f>
        <v/>
      </c>
      <c r="D8" s="11">
        <f>B8-$D$23</f>
        <v/>
      </c>
      <c r="E8" s="11">
        <f>C8-$D$24</f>
        <v/>
      </c>
      <c r="F8" s="11">
        <f>D8*E8</f>
        <v/>
      </c>
      <c r="H8" s="9" t="inlineStr">
        <is>
          <t>Your calculator gives the same value in statistics mode.</t>
        </is>
      </c>
    </row>
    <row r="9">
      <c r="A9" s="10" t="n">
        <v>4</v>
      </c>
      <c r="B9" s="6">
        <f>'1 Scatter plot'!B9</f>
        <v/>
      </c>
      <c r="C9" s="6">
        <f>'1 Scatter plot'!C9</f>
        <v/>
      </c>
      <c r="D9" s="11">
        <f>B9-$D$23</f>
        <v/>
      </c>
      <c r="E9" s="11">
        <f>C9-$D$24</f>
        <v/>
      </c>
      <c r="F9" s="11">
        <f>D9*E9</f>
        <v/>
      </c>
      <c r="H9" s="9" t="inlineStr">
        <is>
          <t>The sign gives the direction and the size gives the strength:  0.9 to 1 very strong,  0.7 to 0.9 strong,  0.5 to 0.7 moderate,  0.3 to 0.5 weak,  below 0.3 very weak or none.</t>
        </is>
      </c>
    </row>
    <row r="10">
      <c r="A10" s="10" t="n">
        <v>5</v>
      </c>
      <c r="B10" s="6">
        <f>'1 Scatter plot'!B10</f>
        <v/>
      </c>
      <c r="C10" s="6">
        <f>'1 Scatter plot'!C10</f>
        <v/>
      </c>
      <c r="D10" s="11">
        <f>B10-$D$23</f>
        <v/>
      </c>
      <c r="E10" s="11">
        <f>C10-$D$24</f>
        <v/>
      </c>
      <c r="F10" s="11">
        <f>D10*E10</f>
        <v/>
      </c>
    </row>
    <row r="11">
      <c r="A11" s="10" t="n">
        <v>6</v>
      </c>
      <c r="B11" s="6">
        <f>'1 Scatter plot'!B11</f>
        <v/>
      </c>
      <c r="C11" s="6">
        <f>'1 Scatter plot'!C11</f>
        <v/>
      </c>
      <c r="D11" s="11">
        <f>B11-$D$23</f>
        <v/>
      </c>
      <c r="E11" s="11">
        <f>C11-$D$24</f>
        <v/>
      </c>
      <c r="F11" s="11">
        <f>D11*E11</f>
        <v/>
      </c>
      <c r="H11" s="12" t="inlineStr">
        <is>
          <t xml:space="preserve">    Cell D26:   =IF(ABS(D25)&gt;=0.9,"Very strong",IF(ABS(D25)&gt;=0.7,"Strong", … ))&amp;IF(D25&gt;0," positive"," negative")</t>
        </is>
      </c>
    </row>
    <row r="12">
      <c r="A12" s="10" t="n">
        <v>7</v>
      </c>
      <c r="B12" s="6">
        <f>'1 Scatter plot'!B12</f>
        <v/>
      </c>
      <c r="C12" s="6">
        <f>'1 Scatter plot'!C12</f>
        <v/>
      </c>
      <c r="D12" s="11">
        <f>B12-$D$23</f>
        <v/>
      </c>
      <c r="E12" s="11">
        <f>C12-$D$24</f>
        <v/>
      </c>
      <c r="F12" s="11">
        <f>D12*E12</f>
        <v/>
      </c>
    </row>
    <row r="13">
      <c r="A13" s="10" t="n">
        <v>8</v>
      </c>
      <c r="B13" s="6">
        <f>'1 Scatter plot'!B13</f>
        <v/>
      </c>
      <c r="C13" s="6">
        <f>'1 Scatter plot'!C13</f>
        <v/>
      </c>
      <c r="D13" s="11">
        <f>B13-$D$23</f>
        <v/>
      </c>
      <c r="E13" s="11">
        <f>C13-$D$24</f>
        <v/>
      </c>
      <c r="F13" s="11">
        <f>D13*E13</f>
        <v/>
      </c>
      <c r="H13" s="9" t="inlineStr">
        <is>
          <t>Columns D to F show why the sign works. A point above both means, or below both means, gives a positive product in column F. Most products here are positive, so r is positive.</t>
        </is>
      </c>
    </row>
    <row r="14">
      <c r="A14" s="10" t="n">
        <v>9</v>
      </c>
      <c r="B14" s="6">
        <f>'1 Scatter plot'!B14</f>
        <v/>
      </c>
      <c r="C14" s="6">
        <f>'1 Scatter plot'!C14</f>
        <v/>
      </c>
      <c r="D14" s="11">
        <f>B14-$D$23</f>
        <v/>
      </c>
      <c r="E14" s="11">
        <f>C14-$D$24</f>
        <v/>
      </c>
      <c r="F14" s="11">
        <f>D14*E14</f>
        <v/>
      </c>
    </row>
    <row r="15">
      <c r="A15" s="10" t="n">
        <v>10</v>
      </c>
      <c r="B15" s="6">
        <f>'1 Scatter plot'!B15</f>
        <v/>
      </c>
      <c r="C15" s="6">
        <f>'1 Scatter plot'!C15</f>
        <v/>
      </c>
      <c r="D15" s="11">
        <f>B15-$D$23</f>
        <v/>
      </c>
      <c r="E15" s="11">
        <f>C15-$D$24</f>
        <v/>
      </c>
      <c r="F15" s="11">
        <f>D15*E15</f>
        <v/>
      </c>
    </row>
    <row r="16">
      <c r="A16" s="10" t="n">
        <v>11</v>
      </c>
      <c r="B16" s="6">
        <f>'1 Scatter plot'!B16</f>
        <v/>
      </c>
      <c r="C16" s="6">
        <f>'1 Scatter plot'!C16</f>
        <v/>
      </c>
      <c r="D16" s="11">
        <f>B16-$D$23</f>
        <v/>
      </c>
      <c r="E16" s="11">
        <f>C16-$D$24</f>
        <v/>
      </c>
      <c r="F16" s="11">
        <f>D16*E16</f>
        <v/>
      </c>
      <c r="H16" s="3" t="inlineStr">
        <is>
          <t>Try it</t>
        </is>
      </c>
    </row>
    <row r="17">
      <c r="A17" s="10" t="n">
        <v>12</v>
      </c>
      <c r="B17" s="6">
        <f>'1 Scatter plot'!B17</f>
        <v/>
      </c>
      <c r="C17" s="6">
        <f>'1 Scatter plot'!C17</f>
        <v/>
      </c>
      <c r="D17" s="11">
        <f>B17-$D$23</f>
        <v/>
      </c>
      <c r="E17" s="11">
        <f>C17-$D$24</f>
        <v/>
      </c>
      <c r="F17" s="11">
        <f>D17*E17</f>
        <v/>
      </c>
      <c r="H17" s="9" t="inlineStr">
        <is>
          <t>1. What is r, and how would you describe the association?</t>
        </is>
      </c>
    </row>
    <row r="18">
      <c r="A18" s="10" t="n">
        <v>13</v>
      </c>
      <c r="B18" s="6">
        <f>'1 Scatter plot'!B18</f>
        <v/>
      </c>
      <c r="C18" s="6">
        <f>'1 Scatter plot'!C18</f>
        <v/>
      </c>
      <c r="D18" s="11">
        <f>B18-$D$23</f>
        <v/>
      </c>
      <c r="E18" s="11">
        <f>C18-$D$24</f>
        <v/>
      </c>
      <c r="F18" s="11">
        <f>D18*E18</f>
        <v/>
      </c>
      <c r="H18" s="9" t="inlineStr">
        <is>
          <t>2. On tab 1, change student 15’s mark to 40. What is r now, and how is it described?</t>
        </is>
      </c>
    </row>
    <row r="19">
      <c r="A19" s="10" t="n">
        <v>14</v>
      </c>
      <c r="B19" s="6">
        <f>'1 Scatter plot'!B19</f>
        <v/>
      </c>
      <c r="C19" s="6">
        <f>'1 Scatter plot'!C19</f>
        <v/>
      </c>
      <c r="D19" s="11">
        <f>B19-$D$23</f>
        <v/>
      </c>
      <c r="E19" s="11">
        <f>C19-$D$24</f>
        <v/>
      </c>
      <c r="F19" s="11">
        <f>D19*E19</f>
        <v/>
      </c>
      <c r="H19" s="9" t="inlineStr">
        <is>
          <t>3. What would r be if every point lay exactly on a line sloping downwards?</t>
        </is>
      </c>
    </row>
    <row r="20">
      <c r="A20" s="10" t="n">
        <v>15</v>
      </c>
      <c r="B20" s="6">
        <f>'1 Scatter plot'!B20</f>
        <v/>
      </c>
      <c r="C20" s="6">
        <f>'1 Scatter plot'!C20</f>
        <v/>
      </c>
      <c r="D20" s="11">
        <f>B20-$D$23</f>
        <v/>
      </c>
      <c r="E20" s="11">
        <f>C20-$D$24</f>
        <v/>
      </c>
      <c r="F20" s="11">
        <f>D20*E20</f>
        <v/>
      </c>
      <c r="H20" s="2" t="inlineStr">
        <is>
          <t>Set student 15’s mark back to 88 on tab 1 when you finish.</t>
        </is>
      </c>
    </row>
    <row r="22">
      <c r="A22" s="3" t="inlineStr">
        <is>
          <t>Results</t>
        </is>
      </c>
    </row>
    <row r="23">
      <c r="A23" s="4" t="inlineStr">
        <is>
          <t>Mean of x, x̄</t>
        </is>
      </c>
      <c r="D23" s="11">
        <f>AVERAGE(B6:B20)</f>
        <v/>
      </c>
    </row>
    <row r="24">
      <c r="A24" s="4" t="inlineStr">
        <is>
          <t>Mean of y, ȳ</t>
        </is>
      </c>
      <c r="D24" s="11">
        <f>AVERAGE(C6:C20)</f>
        <v/>
      </c>
    </row>
    <row r="25">
      <c r="A25" s="4" t="inlineStr">
        <is>
          <t>Correlation coefficient, r</t>
        </is>
      </c>
      <c r="D25" s="13">
        <f>CORREL(B6:B20,C6:C20)</f>
        <v/>
      </c>
    </row>
    <row r="26">
      <c r="A26" s="4" t="inlineStr">
        <is>
          <t>Description</t>
        </is>
      </c>
      <c r="D26" s="14">
        <f>IF(ABS(D25)&gt;=0.9,"Very strong",IF(ABS(D25)&gt;=0.7,"Strong",IF(ABS(D25)&gt;=0.5,"Moderate",IF(ABS(D25)&gt;=0.3,"Weak","Very weak or no"))))&amp;IF(D25&gt;0," positive"," negative")&amp;" linear association"</f>
        <v/>
      </c>
      <c r="E26" s="15" t="n"/>
      <c r="F26" s="16" t="n"/>
    </row>
    <row r="27">
      <c r="A27" s="4" t="inlineStr">
        <is>
          <t>Points with a positive product in column F</t>
        </is>
      </c>
      <c r="D27" s="6">
        <f>COUNTIF(F6:F20,"&gt;0")</f>
        <v/>
      </c>
    </row>
  </sheetData>
  <mergeCells count="13">
    <mergeCell ref="H18:Q18"/>
    <mergeCell ref="H11:Q12"/>
    <mergeCell ref="H19:Q19"/>
    <mergeCell ref="H5:Q6"/>
    <mergeCell ref="H8:Q8"/>
    <mergeCell ref="H13:Q14"/>
    <mergeCell ref="A2:Q2"/>
    <mergeCell ref="H9:Q10"/>
    <mergeCell ref="D26:F26"/>
    <mergeCell ref="H17:Q17"/>
    <mergeCell ref="H7:Q7"/>
    <mergeCell ref="H20:Q20"/>
    <mergeCell ref="A1:Q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36"/>
  <sheetViews>
    <sheetView showGridLines="0" workbookViewId="0">
      <selection activeCell="A1" sqref="A1"/>
    </sheetView>
  </sheetViews>
  <sheetFormatPr baseColWidth="8" defaultRowHeight="15"/>
  <cols>
    <col width="12" customWidth="1" min="1" max="1"/>
    <col width="16" customWidth="1" min="2" max="2"/>
    <col width="16" customWidth="1" min="3" max="3"/>
    <col width="16" customWidth="1" min="4" max="4"/>
    <col width="16" customWidth="1" min="5" max="5"/>
    <col width="16" customWidth="1" min="6" max="6"/>
    <col width="3" customWidth="1" min="7" max="7"/>
    <col width="11" customWidth="1" min="8" max="8"/>
  </cols>
  <sheetData>
    <row r="1" ht="31.5" customHeight="1">
      <c r="A1" s="1" t="inlineStr">
        <is>
          <t>3   The least-squares regression line</t>
        </is>
      </c>
    </row>
    <row r="2" ht="30" customHeight="1">
      <c r="A2" s="2" t="inlineStr">
        <is>
          <t>The least-squares regression line is the line of best fit calculated by the spreadsheet (or your calculator). Here it is found with SLOPE and INTERCEPT, and drawn on the scatter plot as a trendline.</t>
        </is>
      </c>
    </row>
    <row r="4">
      <c r="A4" s="3" t="inlineStr">
        <is>
          <t>Data from tab 1, with predictions from the line</t>
        </is>
      </c>
      <c r="H4" s="3" t="inlineStr">
        <is>
          <t>How it works</t>
        </is>
      </c>
    </row>
    <row r="5" ht="31.5" customHeight="1">
      <c r="A5" s="7" t="inlineStr">
        <is>
          <t>Student</t>
        </is>
      </c>
      <c r="B5" s="7" t="inlineStr">
        <is>
          <t>Study time, x</t>
        </is>
      </c>
      <c r="C5" s="7" t="inlineStr">
        <is>
          <t>Exam mark, y</t>
        </is>
      </c>
      <c r="D5" s="7" t="inlineStr">
        <is>
          <t>Predicted mark, ŷ = a + bx</t>
        </is>
      </c>
      <c r="E5" s="7" t="inlineStr">
        <is>
          <t>Residual, y − ŷ</t>
        </is>
      </c>
      <c r="H5" s="9" t="inlineStr">
        <is>
          <t>The least-squares regression line is the line that makes the total of the squared residuals as small as possible. A residual is the vertical distance from a point to the line: actual − predicted.</t>
        </is>
      </c>
    </row>
    <row r="6">
      <c r="A6" s="10" t="n">
        <v>1</v>
      </c>
      <c r="B6" s="6">
        <f>'1 Scatter plot'!B6</f>
        <v/>
      </c>
      <c r="C6" s="6">
        <f>'1 Scatter plot'!C6</f>
        <v/>
      </c>
      <c r="D6" s="11">
        <f>$D$24+$D$23*B6</f>
        <v/>
      </c>
      <c r="E6" s="11">
        <f>C6-D6</f>
        <v/>
      </c>
    </row>
    <row r="7">
      <c r="A7" s="10" t="n">
        <v>2</v>
      </c>
      <c r="B7" s="6">
        <f>'1 Scatter plot'!B7</f>
        <v/>
      </c>
      <c r="C7" s="6">
        <f>'1 Scatter plot'!C7</f>
        <v/>
      </c>
      <c r="D7" s="11">
        <f>$D$24+$D$23*B7</f>
        <v/>
      </c>
      <c r="E7" s="11">
        <f>C7-D7</f>
        <v/>
      </c>
    </row>
    <row r="8">
      <c r="A8" s="10" t="n">
        <v>3</v>
      </c>
      <c r="B8" s="6">
        <f>'1 Scatter plot'!B8</f>
        <v/>
      </c>
      <c r="C8" s="6">
        <f>'1 Scatter plot'!C8</f>
        <v/>
      </c>
      <c r="D8" s="11">
        <f>$D$24+$D$23*B8</f>
        <v/>
      </c>
      <c r="E8" s="11">
        <f>C8-D8</f>
        <v/>
      </c>
      <c r="H8" s="12" t="inlineStr">
        <is>
          <t xml:space="preserve">    Cell D23:   =SLOPE(C6:C20,B6:B20)          Cell D24:   =INTERCEPT(C6:C20,B6:B20)</t>
        </is>
      </c>
    </row>
    <row r="9">
      <c r="A9" s="10" t="n">
        <v>4</v>
      </c>
      <c r="B9" s="6">
        <f>'1 Scatter plot'!B9</f>
        <v/>
      </c>
      <c r="C9" s="6">
        <f>'1 Scatter plot'!C9</f>
        <v/>
      </c>
      <c r="D9" s="11">
        <f>$D$24+$D$23*B9</f>
        <v/>
      </c>
      <c r="E9" s="11">
        <f>C9-D9</f>
        <v/>
      </c>
      <c r="H9" s="9" t="inlineStr">
        <is>
          <t>Watch the order: the y values come FIRST in SLOPE and INTERCEPT.</t>
        </is>
      </c>
    </row>
    <row r="10">
      <c r="A10" s="10" t="n">
        <v>5</v>
      </c>
      <c r="B10" s="6">
        <f>'1 Scatter plot'!B10</f>
        <v/>
      </c>
      <c r="C10" s="6">
        <f>'1 Scatter plot'!C10</f>
        <v/>
      </c>
      <c r="D10" s="11">
        <f>$D$24+$D$23*B10</f>
        <v/>
      </c>
      <c r="E10" s="11">
        <f>C10-D10</f>
        <v/>
      </c>
      <c r="H10" s="9" t="inlineStr">
        <is>
          <t>On the chart the line is a linear trendline with its equation displayed. It matches cells D23 and D24.</t>
        </is>
      </c>
    </row>
    <row r="11">
      <c r="A11" s="10" t="n">
        <v>6</v>
      </c>
      <c r="B11" s="6">
        <f>'1 Scatter plot'!B11</f>
        <v/>
      </c>
      <c r="C11" s="6">
        <f>'1 Scatter plot'!C11</f>
        <v/>
      </c>
      <c r="D11" s="11">
        <f>$D$24+$D$23*B11</f>
        <v/>
      </c>
      <c r="E11" s="11">
        <f>C11-D11</f>
        <v/>
      </c>
    </row>
    <row r="12">
      <c r="A12" s="10" t="n">
        <v>7</v>
      </c>
      <c r="B12" s="6">
        <f>'1 Scatter plot'!B12</f>
        <v/>
      </c>
      <c r="C12" s="6">
        <f>'1 Scatter plot'!C12</f>
        <v/>
      </c>
      <c r="D12" s="11">
        <f>$D$24+$D$23*B12</f>
        <v/>
      </c>
      <c r="E12" s="11">
        <f>C12-D12</f>
        <v/>
      </c>
      <c r="H12" s="9" t="inlineStr">
        <is>
          <t>The gradient tells you how much the mark changes, on average, for each extra hour of study per week. The y-intercept is the predicted mark for a student who does no study.</t>
        </is>
      </c>
    </row>
    <row r="13">
      <c r="A13" s="10" t="n">
        <v>8</v>
      </c>
      <c r="B13" s="6">
        <f>'1 Scatter plot'!B13</f>
        <v/>
      </c>
      <c r="C13" s="6">
        <f>'1 Scatter plot'!C13</f>
        <v/>
      </c>
      <c r="D13" s="11">
        <f>$D$24+$D$23*B13</f>
        <v/>
      </c>
      <c r="E13" s="11">
        <f>C13-D13</f>
        <v/>
      </c>
    </row>
    <row r="14">
      <c r="A14" s="10" t="n">
        <v>9</v>
      </c>
      <c r="B14" s="6">
        <f>'1 Scatter plot'!B14</f>
        <v/>
      </c>
      <c r="C14" s="6">
        <f>'1 Scatter plot'!C14</f>
        <v/>
      </c>
      <c r="D14" s="11">
        <f>$D$24+$D$23*B14</f>
        <v/>
      </c>
      <c r="E14" s="11">
        <f>C14-D14</f>
        <v/>
      </c>
      <c r="H14" s="9" t="inlineStr">
        <is>
          <t>The residuals of the least-squares line always add to 0 (cell D26): the points above the line balance the points below it.</t>
        </is>
      </c>
    </row>
    <row r="15">
      <c r="A15" s="10" t="n">
        <v>10</v>
      </c>
      <c r="B15" s="6">
        <f>'1 Scatter plot'!B15</f>
        <v/>
      </c>
      <c r="C15" s="6">
        <f>'1 Scatter plot'!C15</f>
        <v/>
      </c>
      <c r="D15" s="11">
        <f>$D$24+$D$23*B15</f>
        <v/>
      </c>
      <c r="E15" s="11">
        <f>C15-D15</f>
        <v/>
      </c>
    </row>
    <row r="16">
      <c r="A16" s="10" t="n">
        <v>11</v>
      </c>
      <c r="B16" s="6">
        <f>'1 Scatter plot'!B16</f>
        <v/>
      </c>
      <c r="C16" s="6">
        <f>'1 Scatter plot'!C16</f>
        <v/>
      </c>
      <c r="D16" s="11">
        <f>$D$24+$D$23*B16</f>
        <v/>
      </c>
      <c r="E16" s="11">
        <f>C16-D16</f>
        <v/>
      </c>
    </row>
    <row r="17">
      <c r="A17" s="10" t="n">
        <v>12</v>
      </c>
      <c r="B17" s="6">
        <f>'1 Scatter plot'!B17</f>
        <v/>
      </c>
      <c r="C17" s="6">
        <f>'1 Scatter plot'!C17</f>
        <v/>
      </c>
      <c r="D17" s="11">
        <f>$D$24+$D$23*B17</f>
        <v/>
      </c>
      <c r="E17" s="11">
        <f>C17-D17</f>
        <v/>
      </c>
    </row>
    <row r="18">
      <c r="A18" s="10" t="n">
        <v>13</v>
      </c>
      <c r="B18" s="6">
        <f>'1 Scatter plot'!B18</f>
        <v/>
      </c>
      <c r="C18" s="6">
        <f>'1 Scatter plot'!C18</f>
        <v/>
      </c>
      <c r="D18" s="11">
        <f>$D$24+$D$23*B18</f>
        <v/>
      </c>
      <c r="E18" s="11">
        <f>C18-D18</f>
        <v/>
      </c>
    </row>
    <row r="19">
      <c r="A19" s="10" t="n">
        <v>14</v>
      </c>
      <c r="B19" s="6">
        <f>'1 Scatter plot'!B19</f>
        <v/>
      </c>
      <c r="C19" s="6">
        <f>'1 Scatter plot'!C19</f>
        <v/>
      </c>
      <c r="D19" s="11">
        <f>$D$24+$D$23*B19</f>
        <v/>
      </c>
      <c r="E19" s="11">
        <f>C19-D19</f>
        <v/>
      </c>
    </row>
    <row r="20">
      <c r="A20" s="10" t="n">
        <v>15</v>
      </c>
      <c r="B20" s="6">
        <f>'1 Scatter plot'!B20</f>
        <v/>
      </c>
      <c r="C20" s="6">
        <f>'1 Scatter plot'!C20</f>
        <v/>
      </c>
      <c r="D20" s="11">
        <f>$D$24+$D$23*B20</f>
        <v/>
      </c>
      <c r="E20" s="11">
        <f>C20-D20</f>
        <v/>
      </c>
    </row>
    <row r="22">
      <c r="A22" s="3" t="inlineStr">
        <is>
          <t>Results</t>
        </is>
      </c>
    </row>
    <row r="23">
      <c r="A23" s="4" t="inlineStr">
        <is>
          <t>Gradient, b</t>
        </is>
      </c>
      <c r="D23" s="17">
        <f>SLOPE(C6:C20,B6:B20)</f>
        <v/>
      </c>
    </row>
    <row r="24">
      <c r="A24" s="4" t="inlineStr">
        <is>
          <t>y-intercept, a</t>
        </is>
      </c>
      <c r="D24" s="17">
        <f>INTERCEPT(C6:C20,B6:B20)</f>
        <v/>
      </c>
    </row>
    <row r="25">
      <c r="A25" s="4" t="inlineStr">
        <is>
          <t>Equation of the line</t>
        </is>
      </c>
      <c r="D25" s="14">
        <f>"y = "&amp;FIXED(D23,2)&amp;"x + "&amp;FIXED(D24,2)</f>
        <v/>
      </c>
      <c r="E25" s="16" t="n"/>
    </row>
    <row r="26">
      <c r="A26" s="4" t="inlineStr">
        <is>
          <t>Sum of the residuals</t>
        </is>
      </c>
      <c r="D26" s="17">
        <f>SUM(E6:E20)</f>
        <v/>
      </c>
    </row>
    <row r="33">
      <c r="H33" s="3" t="inlineStr">
        <is>
          <t>Try it</t>
        </is>
      </c>
    </row>
    <row r="34">
      <c r="H34" s="9" t="inlineStr">
        <is>
          <t>1. Write the equation of the least-squares regression line.</t>
        </is>
      </c>
    </row>
    <row r="35">
      <c r="H35" s="9" t="inlineStr">
        <is>
          <t>2. Interpret the gradient and the y-intercept in the context of the data.</t>
        </is>
      </c>
    </row>
    <row r="36">
      <c r="H36" s="9" t="inlineStr">
        <is>
          <t>3. Which student is furthest ABOVE the line? What does a large positive residual mean here?</t>
        </is>
      </c>
    </row>
  </sheetData>
  <mergeCells count="12">
    <mergeCell ref="D25:E25"/>
    <mergeCell ref="H10:Q11"/>
    <mergeCell ref="H36:Q36"/>
    <mergeCell ref="H14:Q15"/>
    <mergeCell ref="H8:Q8"/>
    <mergeCell ref="H34:Q34"/>
    <mergeCell ref="H9:Q9"/>
    <mergeCell ref="H35:Q35"/>
    <mergeCell ref="A2:Q2"/>
    <mergeCell ref="H12:Q13"/>
    <mergeCell ref="A1:Q1"/>
    <mergeCell ref="H5:Q7"/>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12" customWidth="1" min="1" max="1"/>
    <col width="16" customWidth="1" min="2" max="2"/>
    <col width="16" customWidth="1" min="3" max="3"/>
    <col width="16" customWidth="1" min="4" max="4"/>
    <col width="16" customWidth="1" min="5" max="5"/>
    <col width="16" customWidth="1" min="6" max="6"/>
    <col width="3" customWidth="1" min="7" max="7"/>
    <col width="11" customWidth="1" min="8" max="8"/>
  </cols>
  <sheetData>
    <row r="1" ht="31.5" customHeight="1">
      <c r="A1" s="1" t="inlineStr">
        <is>
          <t>4   Making predictions</t>
        </is>
      </c>
    </row>
    <row r="2" ht="30" customHeight="1">
      <c r="A2" s="2" t="inlineStr">
        <is>
          <t>The regression line can predict a mark for any study time. Inside the range of the data (interpolation) the prediction is reasonably reliable; outside it (extrapolation) it may not be.</t>
        </is>
      </c>
    </row>
    <row r="4">
      <c r="A4" s="3" t="inlineStr">
        <is>
          <t>Input – change this</t>
        </is>
      </c>
      <c r="H4" s="3" t="inlineStr">
        <is>
          <t>How it works</t>
        </is>
      </c>
    </row>
    <row r="5">
      <c r="A5" s="4" t="inlineStr">
        <is>
          <t>Study time to predict for (hours)</t>
        </is>
      </c>
      <c r="D5" s="18" t="n">
        <v>9.5</v>
      </c>
      <c r="H5" s="9" t="inlineStr">
        <is>
          <t>Substitute the study time into the equation of the line:</t>
        </is>
      </c>
    </row>
    <row r="6">
      <c r="H6" s="12" t="inlineStr">
        <is>
          <t xml:space="preserve">    ŷ = a + bx          Cell D10:   =D9+D8*D5</t>
        </is>
      </c>
    </row>
    <row r="7">
      <c r="A7" s="3" t="inlineStr">
        <is>
          <t>Results</t>
        </is>
      </c>
      <c r="H7" s="9" t="inlineStr">
        <is>
          <t>FORECAST does the same calculation in one step from the raw data:</t>
        </is>
      </c>
    </row>
    <row r="8">
      <c r="A8" s="4" t="inlineStr">
        <is>
          <t>Gradient, b (from tab 3)</t>
        </is>
      </c>
      <c r="D8" s="17">
        <f>'3 Regression line'!D23</f>
        <v/>
      </c>
      <c r="H8" s="12" t="inlineStr">
        <is>
          <t xml:space="preserve">    Cell D11:   =FORECAST(D5,'1 Scatter plot'!C6:C20,'1 Scatter plot'!B6:B20)</t>
        </is>
      </c>
    </row>
    <row r="9">
      <c r="A9" s="4" t="inlineStr">
        <is>
          <t>y-intercept, a (from tab 3)</t>
        </is>
      </c>
      <c r="D9" s="17">
        <f>'3 Regression line'!D24</f>
        <v/>
      </c>
      <c r="H9" s="9" t="inlineStr">
        <is>
          <t>Interpolation predicts inside the range of the data (here 2 to 13 hours). The pattern is known there, so the prediction is reasonably reliable.</t>
        </is>
      </c>
    </row>
    <row r="10">
      <c r="A10" s="4" t="inlineStr">
        <is>
          <t>Predicted mark, ŷ = a + bx (%)</t>
        </is>
      </c>
      <c r="D10" s="19">
        <f>D9+D8*D5</f>
        <v/>
      </c>
    </row>
    <row r="11">
      <c r="A11" s="4" t="inlineStr">
        <is>
          <t>Check with FORECAST (%)</t>
        </is>
      </c>
      <c r="D11" s="11">
        <f>FORECAST(D5,'1 Scatter plot'!C6:C20,'1 Scatter plot'!B6:B20)</f>
        <v/>
      </c>
      <c r="H11" s="9" t="inlineStr">
        <is>
          <t>Extrapolation predicts outside that range. The pattern may not continue: the line keeps rising forever, but a mark can never be more than 100%.</t>
        </is>
      </c>
    </row>
    <row r="12">
      <c r="A12" s="4" t="inlineStr">
        <is>
          <t>Interpolation or extrapolation?</t>
        </is>
      </c>
      <c r="D12" s="14">
        <f>IF(AND(D5&gt;=MIN('1 Scatter plot'!B6:B20),D5&lt;=MAX('1 Scatter plot'!B6:B20)),"Interpolation – inside the data","Extrapolation – outside the data")</f>
        <v/>
      </c>
      <c r="E12" s="15" t="n"/>
      <c r="F12" s="16" t="n"/>
    </row>
    <row r="13">
      <c r="H13" s="9" t="inlineStr">
        <is>
          <t>Cell D12 uses AND, MIN and MAX to check whether the input is inside the data range.</t>
        </is>
      </c>
    </row>
    <row r="14" ht="31.5" customHeight="1">
      <c r="A14" s="7" t="inlineStr">
        <is>
          <t>Study time, x</t>
        </is>
      </c>
      <c r="B14" s="7" t="inlineStr">
        <is>
          <t>Predicted mark, ŷ (%)</t>
        </is>
      </c>
      <c r="C14" s="7" t="inlineStr">
        <is>
          <t>Interpolation or extrapolation?</t>
        </is>
      </c>
      <c r="D14" s="7" t="inlineStr">
        <is>
          <t>Is it possible?</t>
        </is>
      </c>
    </row>
    <row r="15">
      <c r="A15" s="10" t="n">
        <v>0</v>
      </c>
      <c r="B15" s="11">
        <f>$D$9+$D$8*A15</f>
        <v/>
      </c>
      <c r="C15" s="20">
        <f>IF(AND(A15&gt;=MIN('1 Scatter plot'!$B$6:$B$20),A15&lt;=MAX('1 Scatter plot'!$B$6:$B$20)),"Interpolation","Extrapolation")</f>
        <v/>
      </c>
      <c r="D15" s="20">
        <f>IF(B15&gt;100,"No – over 100%",IF(B15&lt;0,"No – below 0%","Yes"))</f>
        <v/>
      </c>
      <c r="H15" s="3" t="inlineStr">
        <is>
          <t>Try it</t>
        </is>
      </c>
    </row>
    <row r="16">
      <c r="A16" s="10" t="n">
        <v>5</v>
      </c>
      <c r="B16" s="11">
        <f>$D$9+$D$8*A16</f>
        <v/>
      </c>
      <c r="C16" s="20">
        <f>IF(AND(A16&gt;=MIN('1 Scatter plot'!$B$6:$B$20),A16&lt;=MAX('1 Scatter plot'!$B$6:$B$20)),"Interpolation","Extrapolation")</f>
        <v/>
      </c>
      <c r="D16" s="20">
        <f>IF(B16&gt;100,"No – over 100%",IF(B16&lt;0,"No – below 0%","Yes"))</f>
        <v/>
      </c>
      <c r="H16" s="9" t="inlineStr">
        <is>
          <t>1. Predict the mark for a student who studies 9.5 hours a week. Is this interpolation or extrapolation?</t>
        </is>
      </c>
    </row>
    <row r="17">
      <c r="A17" s="10" t="n">
        <v>10</v>
      </c>
      <c r="B17" s="11">
        <f>$D$9+$D$8*A17</f>
        <v/>
      </c>
      <c r="C17" s="20">
        <f>IF(AND(A17&gt;=MIN('1 Scatter plot'!$B$6:$B$20),A17&lt;=MAX('1 Scatter plot'!$B$6:$B$20)),"Interpolation","Extrapolation")</f>
        <v/>
      </c>
      <c r="D17" s="20">
        <f>IF(B17&gt;100,"No – over 100%",IF(B17&lt;0,"No – below 0%","Yes"))</f>
        <v/>
      </c>
    </row>
    <row r="18">
      <c r="A18" s="10" t="n">
        <v>15</v>
      </c>
      <c r="B18" s="11">
        <f>$D$9+$D$8*A18</f>
        <v/>
      </c>
      <c r="C18" s="20">
        <f>IF(AND(A18&gt;=MIN('1 Scatter plot'!$B$6:$B$20),A18&lt;=MAX('1 Scatter plot'!$B$6:$B$20)),"Interpolation","Extrapolation")</f>
        <v/>
      </c>
      <c r="D18" s="20">
        <f>IF(B18&gt;100,"No – over 100%",IF(B18&lt;0,"No – below 0%","Yes"))</f>
        <v/>
      </c>
      <c r="H18" s="9" t="inlineStr">
        <is>
          <t>2. Predict the mark for 25 hours a week. Why is this prediction not sensible?</t>
        </is>
      </c>
    </row>
    <row r="19">
      <c r="A19" s="10" t="n">
        <v>20</v>
      </c>
      <c r="B19" s="11">
        <f>$D$9+$D$8*A19</f>
        <v/>
      </c>
      <c r="C19" s="20">
        <f>IF(AND(A19&gt;=MIN('1 Scatter plot'!$B$6:$B$20),A19&lt;=MAX('1 Scatter plot'!$B$6:$B$20)),"Interpolation","Extrapolation")</f>
        <v/>
      </c>
      <c r="D19" s="20">
        <f>IF(B19&gt;100,"No – over 100%",IF(B19&lt;0,"No – below 0%","Yes"))</f>
        <v/>
      </c>
      <c r="H19" s="9" t="inlineStr">
        <is>
          <t>3. Is the line useful for predicting the mark of a student who does no study at all? Explain.</t>
        </is>
      </c>
    </row>
    <row r="20">
      <c r="A20" s="10" t="n">
        <v>25</v>
      </c>
      <c r="B20" s="11">
        <f>$D$9+$D$8*A20</f>
        <v/>
      </c>
      <c r="C20" s="20">
        <f>IF(AND(A20&gt;=MIN('1 Scatter plot'!$B$6:$B$20),A20&lt;=MAX('1 Scatter plot'!$B$6:$B$20)),"Interpolation","Extrapolation")</f>
        <v/>
      </c>
      <c r="D20" s="20">
        <f>IF(B20&gt;100,"No – over 100%",IF(B20&lt;0,"No – below 0%","Yes"))</f>
        <v/>
      </c>
      <c r="H20" s="2" t="inlineStr">
        <is>
          <t>Set the input back to 9.5 when you finish.</t>
        </is>
      </c>
    </row>
    <row r="21">
      <c r="A21" s="10" t="n">
        <v>30</v>
      </c>
      <c r="B21" s="11">
        <f>$D$9+$D$8*A21</f>
        <v/>
      </c>
      <c r="C21" s="20">
        <f>IF(AND(A21&gt;=MIN('1 Scatter plot'!$B$6:$B$20),A21&lt;=MAX('1 Scatter plot'!$B$6:$B$20)),"Interpolation","Extrapolation")</f>
        <v/>
      </c>
      <c r="D21" s="20">
        <f>IF(B21&gt;100,"No – over 100%",IF(B21&lt;0,"No – below 0%","Yes"))</f>
        <v/>
      </c>
    </row>
  </sheetData>
  <mergeCells count="14">
    <mergeCell ref="H18:Q18"/>
    <mergeCell ref="H20:Q20"/>
    <mergeCell ref="H5:Q5"/>
    <mergeCell ref="H11:Q12"/>
    <mergeCell ref="H13:Q13"/>
    <mergeCell ref="H19:Q19"/>
    <mergeCell ref="H8:Q8"/>
    <mergeCell ref="H16:Q17"/>
    <mergeCell ref="D12:F12"/>
    <mergeCell ref="A2:Q2"/>
    <mergeCell ref="H9:Q10"/>
    <mergeCell ref="H7:Q7"/>
    <mergeCell ref="H6:Q6"/>
    <mergeCell ref="A1:Q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6"/>
  <sheetViews>
    <sheetView showGridLines="0" workbookViewId="0">
      <selection activeCell="A1" sqref="A1"/>
    </sheetView>
  </sheetViews>
  <sheetFormatPr baseColWidth="8" defaultRowHeight="15"/>
  <cols>
    <col width="26" customWidth="1" min="1" max="1"/>
    <col width="8" customWidth="1" min="2" max="2"/>
    <col width="120" customWidth="1" min="3" max="3"/>
  </cols>
  <sheetData>
    <row r="1" ht="31.5" customHeight="1">
      <c r="A1" s="1" t="inlineStr">
        <is>
          <t>Try it – answers</t>
        </is>
      </c>
    </row>
    <row r="2" ht="30" customHeight="1">
      <c r="A2" s="2" t="inlineStr">
        <is>
          <t>Have a go at each task before you look. Answers assume all other inputs are at their starting values.</t>
        </is>
      </c>
    </row>
    <row r="4" ht="15" customHeight="1">
      <c r="A4" s="7" t="inlineStr">
        <is>
          <t>Tab</t>
        </is>
      </c>
      <c r="B4" s="7" t="inlineStr">
        <is>
          <t>Task</t>
        </is>
      </c>
      <c r="C4" s="7" t="inlineStr">
        <is>
          <t>Answer</t>
        </is>
      </c>
    </row>
    <row r="5" ht="30" customHeight="1">
      <c r="A5" s="21" t="inlineStr">
        <is>
          <t>1 Scatter plot</t>
        </is>
      </c>
      <c r="B5" s="22" t="n">
        <v>1</v>
      </c>
      <c r="C5" s="9" t="inlineStr">
        <is>
          <t>The points lie close to a straight line that rises from left to right: a linear, positive and strong association. Students who studied more tended to get higher marks.</t>
        </is>
      </c>
    </row>
    <row r="6" ht="30" customHeight="1">
      <c r="A6" s="21" t="inlineStr">
        <is>
          <t>1 Scatter plot</t>
        </is>
      </c>
      <c r="B6" s="22" t="n">
        <v>2</v>
      </c>
      <c r="C6" s="9" t="inlineStr">
        <is>
          <t>That point drops to the bottom right, well away from the others – an outlier. The association looks weaker: r falls from 0.975 to 0.525.</t>
        </is>
      </c>
    </row>
    <row r="7" ht="30" customHeight="1">
      <c r="A7" s="21" t="inlineStr">
        <is>
          <t>1 Scatter plot</t>
        </is>
      </c>
      <c r="B7" s="22" t="n">
        <v>3</v>
      </c>
      <c r="C7" s="9" t="inlineStr">
        <is>
          <t>Study time is the independent variable: it may help explain the mark. The mark cannot change how long someone studied, so it is the dependent variable and goes on the y-axis.</t>
        </is>
      </c>
    </row>
    <row r="8" ht="15" customHeight="1">
      <c r="A8" s="21" t="inlineStr">
        <is>
          <t>2 Correlation</t>
        </is>
      </c>
      <c r="B8" s="22" t="n">
        <v>1</v>
      </c>
      <c r="C8" s="9" t="inlineStr">
        <is>
          <t>r = 0.975: a very strong positive linear association.</t>
        </is>
      </c>
    </row>
    <row r="9" ht="15" customHeight="1">
      <c r="A9" s="21" t="inlineStr">
        <is>
          <t>2 Correlation</t>
        </is>
      </c>
      <c r="B9" s="22" t="n">
        <v>2</v>
      </c>
      <c r="C9" s="9" t="inlineStr">
        <is>
          <t>r = 0.525: a moderate positive linear association. One outlier has a big effect on r.</t>
        </is>
      </c>
    </row>
    <row r="10" ht="15" customHeight="1">
      <c r="A10" s="21" t="inlineStr">
        <is>
          <t>2 Correlation</t>
        </is>
      </c>
      <c r="B10" s="22" t="n">
        <v>3</v>
      </c>
      <c r="C10" s="9" t="inlineStr">
        <is>
          <t>r = −1, a perfect negative linear association.</t>
        </is>
      </c>
    </row>
    <row r="11" ht="15" customHeight="1">
      <c r="A11" s="21" t="inlineStr">
        <is>
          <t>3 Regression line</t>
        </is>
      </c>
      <c r="B11" s="22" t="n">
        <v>1</v>
      </c>
      <c r="C11" s="9" t="inlineStr">
        <is>
          <t>ŷ = 3.92x + 38.11, or mark = 3.92 × study time + 38.11.</t>
        </is>
      </c>
    </row>
    <row r="12" ht="30" customHeight="1">
      <c r="A12" s="21" t="inlineStr">
        <is>
          <t>3 Regression line</t>
        </is>
      </c>
      <c r="B12" s="22" t="n">
        <v>2</v>
      </c>
      <c r="C12" s="9" t="inlineStr">
        <is>
          <t>Gradient 3.92: each extra hour of study per week is associated with about 3.9 more marks. y-intercept 38.11: a student who does no study is predicted to get about 38% (an extrapolation – nobody in the data studied less than 2 hours).</t>
        </is>
      </c>
    </row>
    <row r="13" ht="15" customHeight="1">
      <c r="A13" s="21" t="inlineStr">
        <is>
          <t>3 Regression line</t>
        </is>
      </c>
      <c r="B13" s="22" t="n">
        <v>3</v>
      </c>
      <c r="C13" s="9" t="inlineStr">
        <is>
          <t>Student 10 (8 hours, 74%): residual +4.53. They scored about 5 marks more than the line predicts for their study time.</t>
        </is>
      </c>
    </row>
    <row r="14" ht="15" customHeight="1">
      <c r="A14" s="21" t="inlineStr">
        <is>
          <t>4 Predictions</t>
        </is>
      </c>
      <c r="B14" s="22" t="n">
        <v>1</v>
      </c>
      <c r="C14" s="9" t="inlineStr">
        <is>
          <t>75.35% – interpolation, because 9.5 hours is between 2 and 13 hours.</t>
        </is>
      </c>
    </row>
    <row r="15" ht="15" customHeight="1">
      <c r="A15" s="21" t="inlineStr">
        <is>
          <t>4 Predictions</t>
        </is>
      </c>
      <c r="B15" s="22" t="n">
        <v>2</v>
      </c>
      <c r="C15" s="9" t="inlineStr">
        <is>
          <t>136.10% – more than 100%, which is impossible. It is an extrapolation far beyond the data: the straight-line pattern cannot continue.</t>
        </is>
      </c>
    </row>
    <row r="16" ht="30" customHeight="1">
      <c r="A16" s="21" t="inlineStr">
        <is>
          <t>4 Predictions</t>
        </is>
      </c>
      <c r="B16" s="22" t="n">
        <v>3</v>
      </c>
      <c r="C16" s="9" t="inlineStr">
        <is>
          <t>Only with caution. The line predicts 38%, but 0 hours is outside the data (2 to 13 hours), so this is extrapolation and may not be reliable.</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2026-10-17T21:06:46Z</dcterms:created>
  <dcterms:modified xsi:type="dcterms:W3CDTF">2026-10-17T21:06:46Z</dcterms:modified>
</cp:coreProperties>
</file>