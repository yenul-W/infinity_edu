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sk 1 Holiday savings" sheetId="2" state="visible" r:id="rId2"/>
    <sheet name="Task 2 Superannuation" sheetId="3" state="visible" r:id="rId3"/>
    <sheet name="Task 3 Factor tables" sheetId="4" state="visible" r:id="rId4"/>
    <sheet name="Task 4 Retirement" sheetId="5" state="visible" r:id="rId5"/>
    <sheet name="Task 5 Car lo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.0%"/>
    <numFmt numFmtId="166" formatCode="0.000%"/>
    <numFmt numFmtId="167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C00000"/>
      <sz val="10"/>
    </font>
    <font>
      <name val="Arial"/>
      <b val="1"/>
      <color rgb="001F4E5F"/>
      <sz val="11"/>
    </font>
    <font>
      <name val="Arial"/>
      <sz val="10"/>
    </font>
    <font>
      <name val="Arial"/>
      <b val="1"/>
      <color rgb="001F4E5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D9E7EC"/>
      </patternFill>
    </fill>
  </fills>
  <borders count="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pivotButton="0" quotePrefix="0" xfId="0"/>
    <xf numFmtId="0" fontId="5" fillId="0" borderId="0" pivotButton="0" quotePrefix="0" xfId="0"/>
    <xf numFmtId="164" fontId="5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165" fontId="5" fillId="4" borderId="1" pivotButton="0" quotePrefix="0" xfId="0"/>
    <xf numFmtId="1" fontId="5" fillId="4" borderId="1" pivotButton="0" quotePrefix="0" xfId="0"/>
    <xf numFmtId="166" fontId="5" fillId="3" borderId="1" pivotButton="0" quotePrefix="0" xfId="0"/>
    <xf numFmtId="0" fontId="7" fillId="0" borderId="0" applyAlignment="1" pivotButton="0" quotePrefix="0" xfId="0">
      <alignment vertical="top" wrapText="1"/>
    </xf>
    <xf numFmtId="1" fontId="5" fillId="3" borderId="1" pivotButton="0" quotePrefix="0" xfId="0"/>
    <xf numFmtId="0" fontId="5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1" fontId="5" fillId="0" borderId="1" pivotButton="0" quotePrefix="0" xfId="0"/>
    <xf numFmtId="164" fontId="5" fillId="0" borderId="1" pivotButton="0" quotePrefix="0" xfId="0"/>
    <xf numFmtId="0" fontId="0" fillId="0" borderId="3" pivotButton="0" quotePrefix="0" xfId="0"/>
    <xf numFmtId="0" fontId="0" fillId="0" borderId="5" pivotButton="0" quotePrefix="0" xfId="0"/>
    <xf numFmtId="164" fontId="5" fillId="3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6" fillId="5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/>
    </xf>
    <xf numFmtId="167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Holiday savings</a:t>
            </a:r>
          </a:p>
        </rich>
      </tx>
    </title>
    <plotArea>
      <lineChart>
        <grouping val="standard"/>
        <ser>
          <idx val="0"/>
          <order val="0"/>
          <tx>
            <strRef>
              <f>'Task 1 Holiday savings'!E15</f>
            </strRef>
          </tx>
          <spPr>
            <a:ln w="22225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'Task 1 Holiday savings'!$A$16:$A$39</f>
            </numRef>
          </cat>
          <val>
            <numRef>
              <f>'Task 1 Holiday savings'!$E$16:$E$39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($)</a:t>
                </a:r>
              </a:p>
            </rich>
          </tx>
        </title>
        <numFmt formatCode="\$#,##0" sourceLinked="0"/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Superannuation balances</a:t>
            </a:r>
          </a:p>
        </rich>
      </tx>
    </title>
    <plotArea>
      <lineChart>
        <grouping val="standard"/>
        <ser>
          <idx val="0"/>
          <order val="0"/>
          <tx>
            <strRef>
              <f>'Task 2 Superannuation'!B12</f>
            </strRef>
          </tx>
          <spPr>
            <a:ln w="22225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'Task 2 Superannuation'!$A$13:$A$53</f>
            </numRef>
          </cat>
          <val>
            <numRef>
              <f>'Task 2 Superannuation'!$B$13:$B$53</f>
            </numRef>
          </val>
          <smooth val="0"/>
        </ser>
        <ser>
          <idx val="1"/>
          <order val="1"/>
          <tx>
            <strRef>
              <f>'Task 2 Superannuation'!C12</f>
            </strRef>
          </tx>
          <spPr>
            <a:ln w="22225">
              <a:solidFill>
                <a:srgbClr val="BE4B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'Task 2 Superannuation'!$A$13:$A$53</f>
            </numRef>
          </cat>
          <val>
            <numRef>
              <f>'Task 2 Superannuation'!$C$13:$C$53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($)</a:t>
                </a:r>
              </a:p>
            </rich>
          </tx>
        </title>
        <numFmt formatCode="\$#,##0" sourceLinked="0"/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Retirement fund balance</a:t>
            </a:r>
          </a:p>
        </rich>
      </tx>
    </title>
    <plotArea>
      <lineChart>
        <grouping val="standard"/>
        <ser>
          <idx val="0"/>
          <order val="0"/>
          <tx>
            <strRef>
              <f>'Task 4 Retirement'!E14</f>
            </strRef>
          </tx>
          <spPr>
            <a:ln w="22225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'Task 4 Retirement'!$A$15:$A$44</f>
            </numRef>
          </cat>
          <val>
            <numRef>
              <f>'Task 4 Retirement'!$E$15:$E$44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($)</a:t>
                </a:r>
              </a:p>
            </rich>
          </tx>
        </title>
        <numFmt formatCode="\$#,##0" sourceLinked="0"/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Amount owing on the car loan</a:t>
            </a:r>
          </a:p>
        </rich>
      </tx>
    </title>
    <plotArea>
      <lineChart>
        <grouping val="standard"/>
        <ser>
          <idx val="0"/>
          <order val="0"/>
          <tx>
            <strRef>
              <f>'Task 5 Car loan'!E20</f>
            </strRef>
          </tx>
          <spPr>
            <a:ln w="22225">
              <a:solidFill>
                <a:srgbClr val="4A7EB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'Task 5 Car loan'!$A$21:$A$68</f>
            </numRef>
          </cat>
          <val>
            <numRef>
              <f>'Task 5 Car loan'!$E$21:$E$68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($)</a:t>
                </a:r>
              </a:p>
            </rich>
          </tx>
        </title>
        <numFmt formatCode="\$#,##0" sourceLinked="0"/>
        <majorTickMark val="none"/>
        <minorTickMark val="none"/>
        <txPr>
          <a:bodyPr/>
          <a:p>
            <a:pPr>
              <a:defRPr sz="900"/>
            </a:pPr>
            <a:r>
              <a:t/>
            </a:r>
            <a:endParaRPr sz="900"/>
          </a:p>
        </txPr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 ht="31.5" customHeight="1">
      <c r="A1" s="1" t="inlineStr">
        <is>
          <t>Annuities – Spreadsheet Homework – SOLUTIONS</t>
        </is>
      </c>
    </row>
    <row r="2" ht="30" customHeight="1">
      <c r="A2" s="2" t="inlineStr">
        <is>
          <t>Five tasks. In each one you build the spreadsheet model yourself, then use it to answer the questions.</t>
        </is>
      </c>
    </row>
    <row r="4">
      <c r="A4" s="3" t="inlineStr">
        <is>
          <t>SOLUTIONS – green cells show a correct formula or answer. Your formulas may look different and still be correct.</t>
        </is>
      </c>
    </row>
    <row r="6">
      <c r="A6" s="4" t="inlineStr">
        <is>
          <t>Colour key</t>
        </is>
      </c>
    </row>
    <row r="7">
      <c r="A7" s="5" t="n"/>
      <c r="B7" s="6" t="inlineStr">
        <is>
          <t>Green = a worked solution.</t>
        </is>
      </c>
    </row>
    <row r="8">
      <c r="A8" s="7" t="n">
        <v>1000</v>
      </c>
      <c r="B8" s="6" t="inlineStr">
        <is>
          <t>Blue = given information. Only change it when a question tells you to, then change it back.</t>
        </is>
      </c>
    </row>
    <row r="11">
      <c r="A11" s="4" t="inlineStr">
        <is>
          <t>The tasks</t>
        </is>
      </c>
    </row>
    <row r="12" ht="15" customHeight="1">
      <c r="A12" s="8" t="inlineStr">
        <is>
          <t>Tab</t>
        </is>
      </c>
      <c r="B12" s="8" t="inlineStr">
        <is>
          <t>Context</t>
        </is>
      </c>
      <c r="C12" s="8" t="inlineStr">
        <is>
          <t>What you practise</t>
        </is>
      </c>
    </row>
    <row r="13">
      <c r="A13" s="6" t="inlineStr">
        <is>
          <t>Task 1 Holiday savings</t>
        </is>
      </c>
      <c r="B13" s="6" t="inlineStr">
        <is>
          <t>Saving every month for a holiday</t>
        </is>
      </c>
      <c r="C13" s="6" t="inlineStr">
        <is>
          <t>Building an annuity table; checking it with the FV formula</t>
        </is>
      </c>
    </row>
    <row r="14">
      <c r="A14" s="6" t="inlineStr">
        <is>
          <t>Task 2 Superannuation</t>
        </is>
      </c>
      <c r="B14" s="6" t="inlineStr">
        <is>
          <t>Two people saving for retirement</t>
        </is>
      </c>
      <c r="C14" s="6" t="inlineStr">
        <is>
          <t>Annuities that start at different ages; IF; line chart</t>
        </is>
      </c>
    </row>
    <row r="15">
      <c r="A15" s="6" t="inlineStr">
        <is>
          <t>Task 3 Factor tables</t>
        </is>
      </c>
      <c r="B15" s="6" t="inlineStr">
        <is>
          <t>Future value and present value interest factor tables</t>
        </is>
      </c>
      <c r="C15" s="6" t="inlineStr">
        <is>
          <t>Mixed references; reading a table of interest factors</t>
        </is>
      </c>
    </row>
    <row r="16">
      <c r="A16" s="6" t="inlineStr">
        <is>
          <t>Task 4 Retirement</t>
        </is>
      </c>
      <c r="B16" s="6" t="inlineStr">
        <is>
          <t>Living off a retirement fund</t>
        </is>
      </c>
      <c r="C16" s="6" t="inlineStr">
        <is>
          <t>Withdrawals from a fund; present value of an annuity</t>
        </is>
      </c>
    </row>
    <row r="17">
      <c r="A17" s="6" t="inlineStr">
        <is>
          <t>Task 5 Car loan</t>
        </is>
      </c>
      <c r="B17" s="6" t="inlineStr">
        <is>
          <t>Repaying a car loan</t>
        </is>
      </c>
      <c r="C17" s="6" t="inlineStr">
        <is>
          <t>Loan repayments with the PV factor and PMT; reducing balance</t>
        </is>
      </c>
    </row>
    <row r="19">
      <c r="A19" s="4" t="inlineStr">
        <is>
          <t>Rules for a good spreadsheet model</t>
        </is>
      </c>
    </row>
    <row r="20">
      <c r="A20" s="6" t="inlineStr">
        <is>
          <t xml:space="preserve">   1.  Every yellow table cell must contain a formula starting with =, not a typed number.</t>
        </is>
      </c>
    </row>
    <row r="21">
      <c r="A21" s="6" t="inlineStr">
        <is>
          <t xml:space="preserve">   2.  Formulas must use cell references (such as $B$5) for the given values, so the model updates when a value changes.</t>
        </is>
      </c>
    </row>
    <row r="22">
      <c r="A22" s="6" t="inlineStr">
        <is>
          <t xml:space="preserve">   3.  Use $ signs to lock a reference before you fill a formula down or across.</t>
        </is>
      </c>
    </row>
    <row r="23">
      <c r="A23" s="6" t="inlineStr">
        <is>
          <t xml:space="preserve">   4.  Use the check figures on each tab to test your formulas before you answer the questions.</t>
        </is>
      </c>
    </row>
    <row r="24">
      <c r="A24" s="6" t="inlineStr">
        <is>
          <t xml:space="preserve">   5.  Every chart needs a title and axis titles, and a legend if it shows more than one series. Place charts to the right of the questions.</t>
        </is>
      </c>
    </row>
    <row r="25">
      <c r="A25" s="6" t="inlineStr">
        <is>
          <t xml:space="preserve">   6.  Written answers should include the numbers from your spreadsheet that support them.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1   Saving for a holiday</t>
        </is>
      </c>
    </row>
    <row r="2" ht="30" customHeight="1">
      <c r="A2" s="2" t="inlineStr">
        <is>
          <t>Mia puts $250 into a savings account at the end of every month for 2 years. The account pays 4.8% p.a. compounded monthly.</t>
        </is>
      </c>
    </row>
    <row r="4">
      <c r="A4" s="4" t="inlineStr">
        <is>
          <t>Given information</t>
        </is>
      </c>
      <c r="G4" s="4" t="inlineStr">
        <is>
          <t>What to do</t>
        </is>
      </c>
    </row>
    <row r="5">
      <c r="A5" s="6" t="inlineStr">
        <is>
          <t>Contribution at the end of each month ($)</t>
        </is>
      </c>
      <c r="B5" s="7" t="n">
        <v>250</v>
      </c>
      <c r="G5" s="9" t="inlineStr">
        <is>
          <t>1. In B11 and B12, use formulas to find the interest rate per month and the number of months.</t>
        </is>
      </c>
    </row>
    <row r="6">
      <c r="A6" s="6" t="inlineStr">
        <is>
          <t>Interest rate per year</t>
        </is>
      </c>
      <c r="B6" s="10" t="n">
        <v>0.048</v>
      </c>
    </row>
    <row r="7">
      <c r="A7" s="6" t="inlineStr">
        <is>
          <t>Contributions per year</t>
        </is>
      </c>
      <c r="B7" s="11" t="n">
        <v>12</v>
      </c>
      <c r="G7" s="9" t="inlineStr">
        <is>
          <t>2. Month 1 is done for you. In row 17, the opening balance is last month's closing balance. Then write formulas for the interest, the contribution and the closing balance.</t>
        </is>
      </c>
    </row>
    <row r="8">
      <c r="A8" s="6" t="inlineStr">
        <is>
          <t>Number of years</t>
        </is>
      </c>
      <c r="B8" s="11" t="n">
        <v>2</v>
      </c>
    </row>
    <row r="9"/>
    <row r="10">
      <c r="A10" s="4" t="inlineStr">
        <is>
          <t>Your calculations</t>
        </is>
      </c>
      <c r="G10" s="9" t="inlineStr">
        <is>
          <t>3. Fill row 17 down to month 24.</t>
        </is>
      </c>
    </row>
    <row r="11">
      <c r="A11" s="6" t="inlineStr">
        <is>
          <t>Interest rate per month, r</t>
        </is>
      </c>
      <c r="B11" s="12">
        <f>$B$6/$B$7</f>
        <v/>
      </c>
      <c r="G11" s="13" t="inlineStr">
        <is>
          <t>Check: after 24 months the closing balance should be $6,284.27.</t>
        </is>
      </c>
    </row>
    <row r="12">
      <c r="A12" s="6" t="inlineStr">
        <is>
          <t>Number of months, n</t>
        </is>
      </c>
      <c r="B12" s="14">
        <f>$B$7*$B$8</f>
        <v/>
      </c>
    </row>
    <row r="13">
      <c r="G13" s="4" t="inlineStr">
        <is>
          <t>Questions – worked answers</t>
        </is>
      </c>
    </row>
    <row r="14">
      <c r="A14" s="4" t="inlineStr">
        <is>
          <t>Your table</t>
        </is>
      </c>
      <c r="G14" s="13" t="inlineStr">
        <is>
          <t>Q1.  How much is in the account after 12 months?</t>
        </is>
      </c>
    </row>
    <row r="15" ht="31.5" customHeight="1">
      <c r="A15" s="8" t="inlineStr">
        <is>
          <t>Month</t>
        </is>
      </c>
      <c r="B15" s="8" t="inlineStr">
        <is>
          <t>Opening balance ($)</t>
        </is>
      </c>
      <c r="C15" s="8" t="inlineStr">
        <is>
          <t>Interest earned ($)</t>
        </is>
      </c>
      <c r="D15" s="8" t="inlineStr">
        <is>
          <t>Contribution ($)</t>
        </is>
      </c>
      <c r="E15" s="8" t="inlineStr">
        <is>
          <t>Closing balance ($)</t>
        </is>
      </c>
      <c r="G15" s="15" t="inlineStr">
        <is>
          <t>$3,066.89.</t>
        </is>
      </c>
      <c r="H15" s="16" t="n"/>
      <c r="I15" s="16" t="n"/>
      <c r="J15" s="16" t="n"/>
      <c r="K15" s="16" t="n"/>
      <c r="L15" s="16" t="n"/>
      <c r="M15" s="16" t="n"/>
      <c r="N15" s="17" t="n"/>
    </row>
    <row r="16">
      <c r="A16" s="18" t="n">
        <v>1</v>
      </c>
      <c r="B16" s="19" t="n">
        <v>0</v>
      </c>
      <c r="C16" s="19">
        <f>B16*$B$11</f>
        <v/>
      </c>
      <c r="D16" s="19">
        <f>$B$5</f>
        <v/>
      </c>
      <c r="E16" s="19">
        <f>B16+C16+D16</f>
        <v/>
      </c>
      <c r="G16" s="20" t="n"/>
      <c r="N16" s="21" t="n"/>
    </row>
    <row r="17">
      <c r="A17" s="18" t="n">
        <v>2</v>
      </c>
      <c r="B17" s="22">
        <f>E16</f>
        <v/>
      </c>
      <c r="C17" s="22">
        <f>B17*$B$11</f>
        <v/>
      </c>
      <c r="D17" s="22">
        <f>$B$5</f>
        <v/>
      </c>
      <c r="E17" s="22">
        <f>B17+C17+D17</f>
        <v/>
      </c>
      <c r="G17" s="23" t="n"/>
      <c r="H17" s="24" t="n"/>
      <c r="I17" s="24" t="n"/>
      <c r="J17" s="24" t="n"/>
      <c r="K17" s="24" t="n"/>
      <c r="L17" s="24" t="n"/>
      <c r="M17" s="24" t="n"/>
      <c r="N17" s="25" t="n"/>
    </row>
    <row r="18">
      <c r="A18" s="18" t="n">
        <v>3</v>
      </c>
      <c r="B18" s="22">
        <f>E17</f>
        <v/>
      </c>
      <c r="C18" s="22">
        <f>B18*$B$11</f>
        <v/>
      </c>
      <c r="D18" s="22">
        <f>$B$5</f>
        <v/>
      </c>
      <c r="E18" s="22">
        <f>B18+C18+D18</f>
        <v/>
      </c>
    </row>
    <row r="19">
      <c r="A19" s="18" t="n">
        <v>4</v>
      </c>
      <c r="B19" s="22">
        <f>E18</f>
        <v/>
      </c>
      <c r="C19" s="22">
        <f>B19*$B$11</f>
        <v/>
      </c>
      <c r="D19" s="22">
        <f>$B$5</f>
        <v/>
      </c>
      <c r="E19" s="22">
        <f>B19+C19+D19</f>
        <v/>
      </c>
      <c r="G19" s="13" t="inlineStr">
        <is>
          <t>Q2.  How much interest does Mia earn over the 2 years?</t>
        </is>
      </c>
    </row>
    <row r="20">
      <c r="A20" s="18" t="n">
        <v>5</v>
      </c>
      <c r="B20" s="22">
        <f>E19</f>
        <v/>
      </c>
      <c r="C20" s="22">
        <f>B20*$B$11</f>
        <v/>
      </c>
      <c r="D20" s="22">
        <f>$B$5</f>
        <v/>
      </c>
      <c r="E20" s="22">
        <f>B20+C20+D20</f>
        <v/>
      </c>
      <c r="G20" s="15" t="inlineStr">
        <is>
          <t>$6,284.27 − 24 × $250 = $284.27.</t>
        </is>
      </c>
      <c r="H20" s="16" t="n"/>
      <c r="I20" s="16" t="n"/>
      <c r="J20" s="16" t="n"/>
      <c r="K20" s="16" t="n"/>
      <c r="L20" s="16" t="n"/>
      <c r="M20" s="16" t="n"/>
      <c r="N20" s="17" t="n"/>
    </row>
    <row r="21">
      <c r="A21" s="18" t="n">
        <v>6</v>
      </c>
      <c r="B21" s="22">
        <f>E20</f>
        <v/>
      </c>
      <c r="C21" s="22">
        <f>B21*$B$11</f>
        <v/>
      </c>
      <c r="D21" s="22">
        <f>$B$5</f>
        <v/>
      </c>
      <c r="E21" s="22">
        <f>B21+C21+D21</f>
        <v/>
      </c>
      <c r="G21" s="20" t="n"/>
      <c r="N21" s="21" t="n"/>
    </row>
    <row r="22">
      <c r="A22" s="18" t="n">
        <v>7</v>
      </c>
      <c r="B22" s="22">
        <f>E21</f>
        <v/>
      </c>
      <c r="C22" s="22">
        <f>B22*$B$11</f>
        <v/>
      </c>
      <c r="D22" s="22">
        <f>$B$5</f>
        <v/>
      </c>
      <c r="E22" s="22">
        <f>B22+C22+D22</f>
        <v/>
      </c>
      <c r="G22" s="23" t="n"/>
      <c r="H22" s="24" t="n"/>
      <c r="I22" s="24" t="n"/>
      <c r="J22" s="24" t="n"/>
      <c r="K22" s="24" t="n"/>
      <c r="L22" s="24" t="n"/>
      <c r="M22" s="24" t="n"/>
      <c r="N22" s="25" t="n"/>
    </row>
    <row r="23">
      <c r="A23" s="18" t="n">
        <v>8</v>
      </c>
      <c r="B23" s="22">
        <f>E22</f>
        <v/>
      </c>
      <c r="C23" s="22">
        <f>B23*$B$11</f>
        <v/>
      </c>
      <c r="D23" s="22">
        <f>$B$5</f>
        <v/>
      </c>
      <c r="E23" s="22">
        <f>B23+C23+D23</f>
        <v/>
      </c>
    </row>
    <row r="24">
      <c r="A24" s="18" t="n">
        <v>9</v>
      </c>
      <c r="B24" s="22">
        <f>E23</f>
        <v/>
      </c>
      <c r="C24" s="22">
        <f>B24*$B$11</f>
        <v/>
      </c>
      <c r="D24" s="22">
        <f>$B$5</f>
        <v/>
      </c>
      <c r="E24" s="22">
        <f>B24+C24+D24</f>
        <v/>
      </c>
      <c r="G24" s="13" t="inlineStr">
        <is>
          <t>Q3.  In a spare cell, use the future value formula to check your table. Write the formula you used.</t>
        </is>
      </c>
    </row>
    <row r="25">
      <c r="A25" s="18" t="n">
        <v>10</v>
      </c>
      <c r="B25" s="22">
        <f>E24</f>
        <v/>
      </c>
      <c r="C25" s="22">
        <f>B25*$B$11</f>
        <v/>
      </c>
      <c r="D25" s="22">
        <f>$B$5</f>
        <v/>
      </c>
      <c r="E25" s="22">
        <f>B25+C25+D25</f>
        <v/>
      </c>
    </row>
    <row r="26">
      <c r="A26" s="18" t="n">
        <v>11</v>
      </c>
      <c r="B26" s="22">
        <f>E25</f>
        <v/>
      </c>
      <c r="C26" s="22">
        <f>B26*$B$11</f>
        <v/>
      </c>
      <c r="D26" s="22">
        <f>$B$5</f>
        <v/>
      </c>
      <c r="E26" s="22">
        <f>B26+C26+D26</f>
        <v/>
      </c>
      <c r="G26" s="15" t="inlineStr">
        <is>
          <t>=B5*((1+B11)^B12-1)/B11 gives $6,284.27, the same as the table. (FV = M((1 + r)^n − 1) ÷ r with M = 250, r = 0.004, n = 24.)</t>
        </is>
      </c>
      <c r="H26" s="16" t="n"/>
      <c r="I26" s="16" t="n"/>
      <c r="J26" s="16" t="n"/>
      <c r="K26" s="16" t="n"/>
      <c r="L26" s="16" t="n"/>
      <c r="M26" s="16" t="n"/>
      <c r="N26" s="17" t="n"/>
    </row>
    <row r="27">
      <c r="A27" s="18" t="n">
        <v>12</v>
      </c>
      <c r="B27" s="22">
        <f>E26</f>
        <v/>
      </c>
      <c r="C27" s="22">
        <f>B27*$B$11</f>
        <v/>
      </c>
      <c r="D27" s="22">
        <f>$B$5</f>
        <v/>
      </c>
      <c r="E27" s="22">
        <f>B27+C27+D27</f>
        <v/>
      </c>
      <c r="G27" s="20" t="n"/>
      <c r="N27" s="21" t="n"/>
    </row>
    <row r="28">
      <c r="A28" s="18" t="n">
        <v>13</v>
      </c>
      <c r="B28" s="22">
        <f>E27</f>
        <v/>
      </c>
      <c r="C28" s="22">
        <f>B28*$B$11</f>
        <v/>
      </c>
      <c r="D28" s="22">
        <f>$B$5</f>
        <v/>
      </c>
      <c r="E28" s="22">
        <f>B28+C28+D28</f>
        <v/>
      </c>
      <c r="G28" s="23" t="n"/>
      <c r="H28" s="24" t="n"/>
      <c r="I28" s="24" t="n"/>
      <c r="J28" s="24" t="n"/>
      <c r="K28" s="24" t="n"/>
      <c r="L28" s="24" t="n"/>
      <c r="M28" s="24" t="n"/>
      <c r="N28" s="25" t="n"/>
    </row>
    <row r="29">
      <c r="A29" s="18" t="n">
        <v>14</v>
      </c>
      <c r="B29" s="22">
        <f>E28</f>
        <v/>
      </c>
      <c r="C29" s="22">
        <f>B29*$B$11</f>
        <v/>
      </c>
      <c r="D29" s="22">
        <f>$B$5</f>
        <v/>
      </c>
      <c r="E29" s="22">
        <f>B29+C29+D29</f>
        <v/>
      </c>
    </row>
    <row r="30">
      <c r="A30" s="18" t="n">
        <v>15</v>
      </c>
      <c r="B30" s="22">
        <f>E29</f>
        <v/>
      </c>
      <c r="C30" s="22">
        <f>B30*$B$11</f>
        <v/>
      </c>
      <c r="D30" s="22">
        <f>$B$5</f>
        <v/>
      </c>
      <c r="E30" s="22">
        <f>B30+C30+D30</f>
        <v/>
      </c>
      <c r="G30" s="13" t="inlineStr">
        <is>
          <t>Q4.  How much would Mia need to save each month to have $8,000 after 2 years?</t>
        </is>
      </c>
    </row>
    <row r="31">
      <c r="A31" s="18" t="n">
        <v>16</v>
      </c>
      <c r="B31" s="22">
        <f>E30</f>
        <v/>
      </c>
      <c r="C31" s="22">
        <f>B31*$B$11</f>
        <v/>
      </c>
      <c r="D31" s="22">
        <f>$B$5</f>
        <v/>
      </c>
      <c r="E31" s="22">
        <f>B31+C31+D31</f>
        <v/>
      </c>
      <c r="G31" s="15" t="inlineStr">
        <is>
          <t>M = 8000 ÷ 25.1371 = $318.26 per month.</t>
        </is>
      </c>
      <c r="H31" s="16" t="n"/>
      <c r="I31" s="16" t="n"/>
      <c r="J31" s="16" t="n"/>
      <c r="K31" s="16" t="n"/>
      <c r="L31" s="16" t="n"/>
      <c r="M31" s="16" t="n"/>
      <c r="N31" s="17" t="n"/>
    </row>
    <row r="32">
      <c r="A32" s="18" t="n">
        <v>17</v>
      </c>
      <c r="B32" s="22">
        <f>E31</f>
        <v/>
      </c>
      <c r="C32" s="22">
        <f>B32*$B$11</f>
        <v/>
      </c>
      <c r="D32" s="22">
        <f>$B$5</f>
        <v/>
      </c>
      <c r="E32" s="22">
        <f>B32+C32+D32</f>
        <v/>
      </c>
      <c r="G32" s="20" t="n"/>
      <c r="N32" s="21" t="n"/>
    </row>
    <row r="33">
      <c r="A33" s="18" t="n">
        <v>18</v>
      </c>
      <c r="B33" s="22">
        <f>E32</f>
        <v/>
      </c>
      <c r="C33" s="22">
        <f>B33*$B$11</f>
        <v/>
      </c>
      <c r="D33" s="22">
        <f>$B$5</f>
        <v/>
      </c>
      <c r="E33" s="22">
        <f>B33+C33+D33</f>
        <v/>
      </c>
      <c r="G33" s="23" t="n"/>
      <c r="H33" s="24" t="n"/>
      <c r="I33" s="24" t="n"/>
      <c r="J33" s="24" t="n"/>
      <c r="K33" s="24" t="n"/>
      <c r="L33" s="24" t="n"/>
      <c r="M33" s="24" t="n"/>
      <c r="N33" s="25" t="n"/>
    </row>
    <row r="34">
      <c r="A34" s="18" t="n">
        <v>19</v>
      </c>
      <c r="B34" s="22">
        <f>E33</f>
        <v/>
      </c>
      <c r="C34" s="22">
        <f>B34*$B$11</f>
        <v/>
      </c>
      <c r="D34" s="22">
        <f>$B$5</f>
        <v/>
      </c>
      <c r="E34" s="22">
        <f>B34+C34+D34</f>
        <v/>
      </c>
    </row>
    <row r="35">
      <c r="A35" s="18" t="n">
        <v>20</v>
      </c>
      <c r="B35" s="22">
        <f>E34</f>
        <v/>
      </c>
      <c r="C35" s="22">
        <f>B35*$B$11</f>
        <v/>
      </c>
      <c r="D35" s="22">
        <f>$B$5</f>
        <v/>
      </c>
      <c r="E35" s="22">
        <f>B35+C35+D35</f>
        <v/>
      </c>
    </row>
    <row r="36">
      <c r="A36" s="18" t="n">
        <v>21</v>
      </c>
      <c r="B36" s="22">
        <f>E35</f>
        <v/>
      </c>
      <c r="C36" s="22">
        <f>B36*$B$11</f>
        <v/>
      </c>
      <c r="D36" s="22">
        <f>$B$5</f>
        <v/>
      </c>
      <c r="E36" s="22">
        <f>B36+C36+D36</f>
        <v/>
      </c>
    </row>
    <row r="37">
      <c r="A37" s="18" t="n">
        <v>22</v>
      </c>
      <c r="B37" s="22">
        <f>E36</f>
        <v/>
      </c>
      <c r="C37" s="22">
        <f>B37*$B$11</f>
        <v/>
      </c>
      <c r="D37" s="22">
        <f>$B$5</f>
        <v/>
      </c>
      <c r="E37" s="22">
        <f>B37+C37+D37</f>
        <v/>
      </c>
    </row>
    <row r="38">
      <c r="A38" s="18" t="n">
        <v>23</v>
      </c>
      <c r="B38" s="22">
        <f>E37</f>
        <v/>
      </c>
      <c r="C38" s="22">
        <f>B38*$B$11</f>
        <v/>
      </c>
      <c r="D38" s="22">
        <f>$B$5</f>
        <v/>
      </c>
      <c r="E38" s="22">
        <f>B38+C38+D38</f>
        <v/>
      </c>
    </row>
    <row r="39">
      <c r="A39" s="18" t="n">
        <v>24</v>
      </c>
      <c r="B39" s="22">
        <f>E38</f>
        <v/>
      </c>
      <c r="C39" s="22">
        <f>B39*$B$11</f>
        <v/>
      </c>
      <c r="D39" s="22">
        <f>$B$5</f>
        <v/>
      </c>
      <c r="E39" s="22">
        <f>B39+C39+D39</f>
        <v/>
      </c>
    </row>
  </sheetData>
  <mergeCells count="14">
    <mergeCell ref="G7:N9"/>
    <mergeCell ref="G31:N33"/>
    <mergeCell ref="G26:N28"/>
    <mergeCell ref="G20:N22"/>
    <mergeCell ref="G30:N30"/>
    <mergeCell ref="A2:N2"/>
    <mergeCell ref="G11:N11"/>
    <mergeCell ref="G15:N17"/>
    <mergeCell ref="G19:N19"/>
    <mergeCell ref="G24:N25"/>
    <mergeCell ref="G10:N10"/>
    <mergeCell ref="G14:N14"/>
    <mergeCell ref="G5:N6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2   Superannuation: starting early</t>
        </is>
      </c>
    </row>
    <row r="2" ht="30" customHeight="1">
      <c r="A2" s="2" t="inlineStr">
        <is>
          <t>Alex starts putting $5,000 a year into superannuation at age 25. Sam waits until 35, then puts in $7,000 a year. Both funds earn 6.5% p.a., contributions are made at the end of each year, and both retire at 65.</t>
        </is>
      </c>
    </row>
    <row r="4">
      <c r="A4" s="4" t="inlineStr">
        <is>
          <t>Given information</t>
        </is>
      </c>
      <c r="G4" s="4" t="inlineStr">
        <is>
          <t>What to do</t>
        </is>
      </c>
    </row>
    <row r="5">
      <c r="A5" s="6" t="inlineStr">
        <is>
          <t>Alex: contribution per year ($)</t>
        </is>
      </c>
      <c r="B5" s="7" t="n">
        <v>5000</v>
      </c>
      <c r="G5" s="9" t="inlineStr">
        <is>
          <t>1. Age 25 is done for you. In B14, last year's balance grows by the interest rate, then this year's contribution is added – but only after the starting age. Use IF:  =B13*(1+$B$9)+IF(A14&gt;$B$6,$B$5,0)</t>
        </is>
      </c>
    </row>
    <row r="6">
      <c r="A6" s="6" t="inlineStr">
        <is>
          <t>Alex: starting age</t>
        </is>
      </c>
      <c r="B6" s="11" t="n">
        <v>25</v>
      </c>
    </row>
    <row r="7">
      <c r="A7" s="6" t="inlineStr">
        <is>
          <t>Sam: contribution per year ($)</t>
        </is>
      </c>
      <c r="B7" s="7" t="n">
        <v>7000</v>
      </c>
    </row>
    <row r="8">
      <c r="A8" s="6" t="inlineStr">
        <is>
          <t>Sam: starting age</t>
        </is>
      </c>
      <c r="B8" s="11" t="n">
        <v>35</v>
      </c>
      <c r="G8" s="9" t="inlineStr">
        <is>
          <t>2. In C14, write the matching formula for Sam.</t>
        </is>
      </c>
    </row>
    <row r="9">
      <c r="A9" s="6" t="inlineStr">
        <is>
          <t>Interest rate per year</t>
        </is>
      </c>
      <c r="B9" s="10" t="n">
        <v>0.065</v>
      </c>
      <c r="G9" s="9" t="inlineStr">
        <is>
          <t>3. Fill both formulas down to age 65.</t>
        </is>
      </c>
    </row>
    <row r="10">
      <c r="G10" s="13" t="inlineStr">
        <is>
          <t>Check: at age 45 Alex should have $194,126.54 and Sam $94,460.96.</t>
        </is>
      </c>
    </row>
    <row r="11">
      <c r="A11" s="4" t="inlineStr">
        <is>
          <t>Your table</t>
        </is>
      </c>
    </row>
    <row r="12" ht="31.5" customHeight="1">
      <c r="A12" s="8" t="inlineStr">
        <is>
          <t>Age</t>
        </is>
      </c>
      <c r="B12" s="8" t="inlineStr">
        <is>
          <t>Alex: balance ($)</t>
        </is>
      </c>
      <c r="C12" s="8" t="inlineStr">
        <is>
          <t>Sam: balance ($)</t>
        </is>
      </c>
      <c r="G12" s="4" t="inlineStr">
        <is>
          <t>Questions – worked answers</t>
        </is>
      </c>
    </row>
    <row r="13">
      <c r="A13" s="18" t="n">
        <v>25</v>
      </c>
      <c r="B13" s="19" t="n">
        <v>0</v>
      </c>
      <c r="C13" s="19" t="n">
        <v>0</v>
      </c>
      <c r="G13" s="13" t="inlineStr">
        <is>
          <t>Q1.  Who has more at 65, and how much more?</t>
        </is>
      </c>
    </row>
    <row r="14">
      <c r="A14" s="18" t="n">
        <v>26</v>
      </c>
      <c r="B14" s="22">
        <f>B13*(1+$B$9)+IF(A14&gt;$B$6,$B$5,0)</f>
        <v/>
      </c>
      <c r="C14" s="22">
        <f>C13*(1+$B$9)+IF(A14&gt;$B$8,$B$7,0)</f>
        <v/>
      </c>
      <c r="G14" s="15" t="inlineStr">
        <is>
          <t>Alex has $878,159.58 and Sam has $604,624.05, so Alex has $273,535.53 more.</t>
        </is>
      </c>
      <c r="H14" s="16" t="n"/>
      <c r="I14" s="16" t="n"/>
      <c r="J14" s="16" t="n"/>
      <c r="K14" s="16" t="n"/>
      <c r="L14" s="16" t="n"/>
      <c r="M14" s="16" t="n"/>
      <c r="N14" s="17" t="n"/>
    </row>
    <row r="15">
      <c r="A15" s="18" t="n">
        <v>27</v>
      </c>
      <c r="B15" s="22">
        <f>B14*(1+$B$9)+IF(A15&gt;$B$6,$B$5,0)</f>
        <v/>
      </c>
      <c r="C15" s="22">
        <f>C14*(1+$B$9)+IF(A15&gt;$B$8,$B$7,0)</f>
        <v/>
      </c>
      <c r="G15" s="20" t="n"/>
      <c r="N15" s="21" t="n"/>
    </row>
    <row r="16">
      <c r="A16" s="18" t="n">
        <v>28</v>
      </c>
      <c r="B16" s="22">
        <f>B15*(1+$B$9)+IF(A16&gt;$B$6,$B$5,0)</f>
        <v/>
      </c>
      <c r="C16" s="22">
        <f>C15*(1+$B$9)+IF(A16&gt;$B$8,$B$7,0)</f>
        <v/>
      </c>
      <c r="G16" s="23" t="n"/>
      <c r="H16" s="24" t="n"/>
      <c r="I16" s="24" t="n"/>
      <c r="J16" s="24" t="n"/>
      <c r="K16" s="24" t="n"/>
      <c r="L16" s="24" t="n"/>
      <c r="M16" s="24" t="n"/>
      <c r="N16" s="25" t="n"/>
    </row>
    <row r="17">
      <c r="A17" s="18" t="n">
        <v>29</v>
      </c>
      <c r="B17" s="22">
        <f>B16*(1+$B$9)+IF(A17&gt;$B$6,$B$5,0)</f>
        <v/>
      </c>
      <c r="C17" s="22">
        <f>C16*(1+$B$9)+IF(A17&gt;$B$8,$B$7,0)</f>
        <v/>
      </c>
    </row>
    <row r="18">
      <c r="A18" s="18" t="n">
        <v>30</v>
      </c>
      <c r="B18" s="22">
        <f>B17*(1+$B$9)+IF(A18&gt;$B$6,$B$5,0)</f>
        <v/>
      </c>
      <c r="C18" s="22">
        <f>C17*(1+$B$9)+IF(A18&gt;$B$8,$B$7,0)</f>
        <v/>
      </c>
      <c r="G18" s="13" t="inlineStr">
        <is>
          <t>Q2.  How much does each person contribute in total?</t>
        </is>
      </c>
    </row>
    <row r="19">
      <c r="A19" s="18" t="n">
        <v>31</v>
      </c>
      <c r="B19" s="22">
        <f>B18*(1+$B$9)+IF(A19&gt;$B$6,$B$5,0)</f>
        <v/>
      </c>
      <c r="C19" s="22">
        <f>C18*(1+$B$9)+IF(A19&gt;$B$8,$B$7,0)</f>
        <v/>
      </c>
      <c r="G19" s="15" t="inlineStr">
        <is>
          <t>Alex: 40 × $5,000 = $200,000.  Sam: 30 × $7,000 = $210,000.</t>
        </is>
      </c>
      <c r="H19" s="16" t="n"/>
      <c r="I19" s="16" t="n"/>
      <c r="J19" s="16" t="n"/>
      <c r="K19" s="16" t="n"/>
      <c r="L19" s="16" t="n"/>
      <c r="M19" s="16" t="n"/>
      <c r="N19" s="17" t="n"/>
    </row>
    <row r="20">
      <c r="A20" s="18" t="n">
        <v>32</v>
      </c>
      <c r="B20" s="22">
        <f>B19*(1+$B$9)+IF(A20&gt;$B$6,$B$5,0)</f>
        <v/>
      </c>
      <c r="C20" s="22">
        <f>C19*(1+$B$9)+IF(A20&gt;$B$8,$B$7,0)</f>
        <v/>
      </c>
      <c r="G20" s="20" t="n"/>
      <c r="N20" s="21" t="n"/>
    </row>
    <row r="21">
      <c r="A21" s="18" t="n">
        <v>33</v>
      </c>
      <c r="B21" s="22">
        <f>B20*(1+$B$9)+IF(A21&gt;$B$6,$B$5,0)</f>
        <v/>
      </c>
      <c r="C21" s="22">
        <f>C20*(1+$B$9)+IF(A21&gt;$B$8,$B$7,0)</f>
        <v/>
      </c>
      <c r="G21" s="23" t="n"/>
      <c r="H21" s="24" t="n"/>
      <c r="I21" s="24" t="n"/>
      <c r="J21" s="24" t="n"/>
      <c r="K21" s="24" t="n"/>
      <c r="L21" s="24" t="n"/>
      <c r="M21" s="24" t="n"/>
      <c r="N21" s="25" t="n"/>
    </row>
    <row r="22">
      <c r="A22" s="18" t="n">
        <v>34</v>
      </c>
      <c r="B22" s="22">
        <f>B21*(1+$B$9)+IF(A22&gt;$B$6,$B$5,0)</f>
        <v/>
      </c>
      <c r="C22" s="22">
        <f>C21*(1+$B$9)+IF(A22&gt;$B$8,$B$7,0)</f>
        <v/>
      </c>
    </row>
    <row r="23">
      <c r="A23" s="18" t="n">
        <v>35</v>
      </c>
      <c r="B23" s="22">
        <f>B22*(1+$B$9)+IF(A23&gt;$B$6,$B$5,0)</f>
        <v/>
      </c>
      <c r="C23" s="22">
        <f>C22*(1+$B$9)+IF(A23&gt;$B$8,$B$7,0)</f>
        <v/>
      </c>
      <c r="G23" s="13" t="inlineStr">
        <is>
          <t>Q3.  Explain why Alex ends up with more, even though Alex contributes less.</t>
        </is>
      </c>
    </row>
    <row r="24">
      <c r="A24" s="18" t="n">
        <v>36</v>
      </c>
      <c r="B24" s="22">
        <f>B23*(1+$B$9)+IF(A24&gt;$B$6,$B$5,0)</f>
        <v/>
      </c>
      <c r="C24" s="22">
        <f>C23*(1+$B$9)+IF(A24&gt;$B$8,$B$7,0)</f>
        <v/>
      </c>
      <c r="G24" s="15" t="inlineStr">
        <is>
          <t>Alex’s money is invested for 10 more years. The early contributions compound for up to 40 years, so most of Alex’s final balance is interest – time matters more than the size of the contributions.</t>
        </is>
      </c>
      <c r="H24" s="16" t="n"/>
      <c r="I24" s="16" t="n"/>
      <c r="J24" s="16" t="n"/>
      <c r="K24" s="16" t="n"/>
      <c r="L24" s="16" t="n"/>
      <c r="M24" s="16" t="n"/>
      <c r="N24" s="17" t="n"/>
    </row>
    <row r="25">
      <c r="A25" s="18" t="n">
        <v>37</v>
      </c>
      <c r="B25" s="22">
        <f>B24*(1+$B$9)+IF(A25&gt;$B$6,$B$5,0)</f>
        <v/>
      </c>
      <c r="C25" s="22">
        <f>C24*(1+$B$9)+IF(A25&gt;$B$8,$B$7,0)</f>
        <v/>
      </c>
      <c r="G25" s="20" t="n"/>
      <c r="N25" s="21" t="n"/>
    </row>
    <row r="26">
      <c r="A26" s="18" t="n">
        <v>38</v>
      </c>
      <c r="B26" s="22">
        <f>B25*(1+$B$9)+IF(A26&gt;$B$6,$B$5,0)</f>
        <v/>
      </c>
      <c r="C26" s="22">
        <f>C25*(1+$B$9)+IF(A26&gt;$B$8,$B$7,0)</f>
        <v/>
      </c>
      <c r="G26" s="23" t="n"/>
      <c r="H26" s="24" t="n"/>
      <c r="I26" s="24" t="n"/>
      <c r="J26" s="24" t="n"/>
      <c r="K26" s="24" t="n"/>
      <c r="L26" s="24" t="n"/>
      <c r="M26" s="24" t="n"/>
      <c r="N26" s="25" t="n"/>
    </row>
    <row r="27">
      <c r="A27" s="18" t="n">
        <v>39</v>
      </c>
      <c r="B27" s="22">
        <f>B26*(1+$B$9)+IF(A27&gt;$B$6,$B$5,0)</f>
        <v/>
      </c>
      <c r="C27" s="22">
        <f>C26*(1+$B$9)+IF(A27&gt;$B$8,$B$7,0)</f>
        <v/>
      </c>
    </row>
    <row r="28">
      <c r="A28" s="18" t="n">
        <v>40</v>
      </c>
      <c r="B28" s="22">
        <f>B27*(1+$B$9)+IF(A28&gt;$B$6,$B$5,0)</f>
        <v/>
      </c>
      <c r="C28" s="22">
        <f>C27*(1+$B$9)+IF(A28&gt;$B$8,$B$7,0)</f>
        <v/>
      </c>
      <c r="G28" s="13" t="inlineStr">
        <is>
          <t>Q4.  How much would Sam need to contribute each year to match Alex at 65? Use a formula.</t>
        </is>
      </c>
    </row>
    <row r="29">
      <c r="A29" s="18" t="n">
        <v>41</v>
      </c>
      <c r="B29" s="22">
        <f>B28*(1+$B$9)+IF(A29&gt;$B$6,$B$5,0)</f>
        <v/>
      </c>
      <c r="C29" s="22">
        <f>C28*(1+$B$9)+IF(A29&gt;$B$8,$B$7,0)</f>
        <v/>
      </c>
    </row>
    <row r="30">
      <c r="A30" s="18" t="n">
        <v>42</v>
      </c>
      <c r="B30" s="22">
        <f>B29*(1+$B$9)+IF(A30&gt;$B$6,$B$5,0)</f>
        <v/>
      </c>
      <c r="C30" s="22">
        <f>C29*(1+$B$9)+IF(A30&gt;$B$8,$B$7,0)</f>
        <v/>
      </c>
      <c r="G30" s="15" t="inlineStr">
        <is>
          <t>M = Alex’s balance ÷ FV factor for 30 years at 6.5% = $878,159.58 ÷ 86.3749 = $10,166.84 per year.</t>
        </is>
      </c>
      <c r="H30" s="16" t="n"/>
      <c r="I30" s="16" t="n"/>
      <c r="J30" s="16" t="n"/>
      <c r="K30" s="16" t="n"/>
      <c r="L30" s="16" t="n"/>
      <c r="M30" s="16" t="n"/>
      <c r="N30" s="17" t="n"/>
    </row>
    <row r="31">
      <c r="A31" s="18" t="n">
        <v>43</v>
      </c>
      <c r="B31" s="22">
        <f>B30*(1+$B$9)+IF(A31&gt;$B$6,$B$5,0)</f>
        <v/>
      </c>
      <c r="C31" s="22">
        <f>C30*(1+$B$9)+IF(A31&gt;$B$8,$B$7,0)</f>
        <v/>
      </c>
      <c r="G31" s="20" t="n"/>
      <c r="N31" s="21" t="n"/>
    </row>
    <row r="32">
      <c r="A32" s="18" t="n">
        <v>44</v>
      </c>
      <c r="B32" s="22">
        <f>B31*(1+$B$9)+IF(A32&gt;$B$6,$B$5,0)</f>
        <v/>
      </c>
      <c r="C32" s="22">
        <f>C31*(1+$B$9)+IF(A32&gt;$B$8,$B$7,0)</f>
        <v/>
      </c>
      <c r="G32" s="23" t="n"/>
      <c r="H32" s="24" t="n"/>
      <c r="I32" s="24" t="n"/>
      <c r="J32" s="24" t="n"/>
      <c r="K32" s="24" t="n"/>
      <c r="L32" s="24" t="n"/>
      <c r="M32" s="24" t="n"/>
      <c r="N32" s="25" t="n"/>
    </row>
    <row r="33">
      <c r="A33" s="18" t="n">
        <v>45</v>
      </c>
      <c r="B33" s="22">
        <f>B32*(1+$B$9)+IF(A33&gt;$B$6,$B$5,0)</f>
        <v/>
      </c>
      <c r="C33" s="22">
        <f>C32*(1+$B$9)+IF(A33&gt;$B$8,$B$7,0)</f>
        <v/>
      </c>
    </row>
    <row r="34">
      <c r="A34" s="18" t="n">
        <v>46</v>
      </c>
      <c r="B34" s="22">
        <f>B33*(1+$B$9)+IF(A34&gt;$B$6,$B$5,0)</f>
        <v/>
      </c>
      <c r="C34" s="22">
        <f>C33*(1+$B$9)+IF(A34&gt;$B$8,$B$7,0)</f>
        <v/>
      </c>
    </row>
    <row r="35">
      <c r="A35" s="18" t="n">
        <v>47</v>
      </c>
      <c r="B35" s="22">
        <f>B34*(1+$B$9)+IF(A35&gt;$B$6,$B$5,0)</f>
        <v/>
      </c>
      <c r="C35" s="22">
        <f>C34*(1+$B$9)+IF(A35&gt;$B$8,$B$7,0)</f>
        <v/>
      </c>
    </row>
    <row r="36">
      <c r="A36" s="18" t="n">
        <v>48</v>
      </c>
      <c r="B36" s="22">
        <f>B35*(1+$B$9)+IF(A36&gt;$B$6,$B$5,0)</f>
        <v/>
      </c>
      <c r="C36" s="22">
        <f>C35*(1+$B$9)+IF(A36&gt;$B$8,$B$7,0)</f>
        <v/>
      </c>
    </row>
    <row r="37">
      <c r="A37" s="18" t="n">
        <v>49</v>
      </c>
      <c r="B37" s="22">
        <f>B36*(1+$B$9)+IF(A37&gt;$B$6,$B$5,0)</f>
        <v/>
      </c>
      <c r="C37" s="22">
        <f>C36*(1+$B$9)+IF(A37&gt;$B$8,$B$7,0)</f>
        <v/>
      </c>
    </row>
    <row r="38">
      <c r="A38" s="18" t="n">
        <v>50</v>
      </c>
      <c r="B38" s="22">
        <f>B37*(1+$B$9)+IF(A38&gt;$B$6,$B$5,0)</f>
        <v/>
      </c>
      <c r="C38" s="22">
        <f>C37*(1+$B$9)+IF(A38&gt;$B$8,$B$7,0)</f>
        <v/>
      </c>
    </row>
    <row r="39">
      <c r="A39" s="18" t="n">
        <v>51</v>
      </c>
      <c r="B39" s="22">
        <f>B38*(1+$B$9)+IF(A39&gt;$B$6,$B$5,0)</f>
        <v/>
      </c>
      <c r="C39" s="22">
        <f>C38*(1+$B$9)+IF(A39&gt;$B$8,$B$7,0)</f>
        <v/>
      </c>
    </row>
    <row r="40">
      <c r="A40" s="18" t="n">
        <v>52</v>
      </c>
      <c r="B40" s="22">
        <f>B39*(1+$B$9)+IF(A40&gt;$B$6,$B$5,0)</f>
        <v/>
      </c>
      <c r="C40" s="22">
        <f>C39*(1+$B$9)+IF(A40&gt;$B$8,$B$7,0)</f>
        <v/>
      </c>
    </row>
    <row r="41">
      <c r="A41" s="18" t="n">
        <v>53</v>
      </c>
      <c r="B41" s="22">
        <f>B40*(1+$B$9)+IF(A41&gt;$B$6,$B$5,0)</f>
        <v/>
      </c>
      <c r="C41" s="22">
        <f>C40*(1+$B$9)+IF(A41&gt;$B$8,$B$7,0)</f>
        <v/>
      </c>
    </row>
    <row r="42">
      <c r="A42" s="18" t="n">
        <v>54</v>
      </c>
      <c r="B42" s="22">
        <f>B41*(1+$B$9)+IF(A42&gt;$B$6,$B$5,0)</f>
        <v/>
      </c>
      <c r="C42" s="22">
        <f>C41*(1+$B$9)+IF(A42&gt;$B$8,$B$7,0)</f>
        <v/>
      </c>
    </row>
    <row r="43">
      <c r="A43" s="18" t="n">
        <v>55</v>
      </c>
      <c r="B43" s="22">
        <f>B42*(1+$B$9)+IF(A43&gt;$B$6,$B$5,0)</f>
        <v/>
      </c>
      <c r="C43" s="22">
        <f>C42*(1+$B$9)+IF(A43&gt;$B$8,$B$7,0)</f>
        <v/>
      </c>
    </row>
    <row r="44">
      <c r="A44" s="18" t="n">
        <v>56</v>
      </c>
      <c r="B44" s="22">
        <f>B43*(1+$B$9)+IF(A44&gt;$B$6,$B$5,0)</f>
        <v/>
      </c>
      <c r="C44" s="22">
        <f>C43*(1+$B$9)+IF(A44&gt;$B$8,$B$7,0)</f>
        <v/>
      </c>
    </row>
    <row r="45">
      <c r="A45" s="18" t="n">
        <v>57</v>
      </c>
      <c r="B45" s="22">
        <f>B44*(1+$B$9)+IF(A45&gt;$B$6,$B$5,0)</f>
        <v/>
      </c>
      <c r="C45" s="22">
        <f>C44*(1+$B$9)+IF(A45&gt;$B$8,$B$7,0)</f>
        <v/>
      </c>
    </row>
    <row r="46">
      <c r="A46" s="18" t="n">
        <v>58</v>
      </c>
      <c r="B46" s="22">
        <f>B45*(1+$B$9)+IF(A46&gt;$B$6,$B$5,0)</f>
        <v/>
      </c>
      <c r="C46" s="22">
        <f>C45*(1+$B$9)+IF(A46&gt;$B$8,$B$7,0)</f>
        <v/>
      </c>
    </row>
    <row r="47">
      <c r="A47" s="18" t="n">
        <v>59</v>
      </c>
      <c r="B47" s="22">
        <f>B46*(1+$B$9)+IF(A47&gt;$B$6,$B$5,0)</f>
        <v/>
      </c>
      <c r="C47" s="22">
        <f>C46*(1+$B$9)+IF(A47&gt;$B$8,$B$7,0)</f>
        <v/>
      </c>
    </row>
    <row r="48">
      <c r="A48" s="18" t="n">
        <v>60</v>
      </c>
      <c r="B48" s="22">
        <f>B47*(1+$B$9)+IF(A48&gt;$B$6,$B$5,0)</f>
        <v/>
      </c>
      <c r="C48" s="22">
        <f>C47*(1+$B$9)+IF(A48&gt;$B$8,$B$7,0)</f>
        <v/>
      </c>
    </row>
    <row r="49">
      <c r="A49" s="18" t="n">
        <v>61</v>
      </c>
      <c r="B49" s="22">
        <f>B48*(1+$B$9)+IF(A49&gt;$B$6,$B$5,0)</f>
        <v/>
      </c>
      <c r="C49" s="22">
        <f>C48*(1+$B$9)+IF(A49&gt;$B$8,$B$7,0)</f>
        <v/>
      </c>
    </row>
    <row r="50">
      <c r="A50" s="18" t="n">
        <v>62</v>
      </c>
      <c r="B50" s="22">
        <f>B49*(1+$B$9)+IF(A50&gt;$B$6,$B$5,0)</f>
        <v/>
      </c>
      <c r="C50" s="22">
        <f>C49*(1+$B$9)+IF(A50&gt;$B$8,$B$7,0)</f>
        <v/>
      </c>
    </row>
    <row r="51">
      <c r="A51" s="18" t="n">
        <v>63</v>
      </c>
      <c r="B51" s="22">
        <f>B50*(1+$B$9)+IF(A51&gt;$B$6,$B$5,0)</f>
        <v/>
      </c>
      <c r="C51" s="22">
        <f>C50*(1+$B$9)+IF(A51&gt;$B$8,$B$7,0)</f>
        <v/>
      </c>
    </row>
    <row r="52">
      <c r="A52" s="18" t="n">
        <v>64</v>
      </c>
      <c r="B52" s="22">
        <f>B51*(1+$B$9)+IF(A52&gt;$B$6,$B$5,0)</f>
        <v/>
      </c>
      <c r="C52" s="22">
        <f>C51*(1+$B$9)+IF(A52&gt;$B$8,$B$7,0)</f>
        <v/>
      </c>
    </row>
    <row r="53">
      <c r="A53" s="18" t="n">
        <v>65</v>
      </c>
      <c r="B53" s="22">
        <f>B52*(1+$B$9)+IF(A53&gt;$B$6,$B$5,0)</f>
        <v/>
      </c>
      <c r="C53" s="22">
        <f>C52*(1+$B$9)+IF(A53&gt;$B$8,$B$7,0)</f>
        <v/>
      </c>
    </row>
  </sheetData>
  <mergeCells count="14">
    <mergeCell ref="G8:N8"/>
    <mergeCell ref="G18:N18"/>
    <mergeCell ref="G30:N32"/>
    <mergeCell ref="G28:N29"/>
    <mergeCell ref="G14:N16"/>
    <mergeCell ref="A2:N2"/>
    <mergeCell ref="G5:N7"/>
    <mergeCell ref="G19:N21"/>
    <mergeCell ref="G10:N10"/>
    <mergeCell ref="G24:N26"/>
    <mergeCell ref="G13:N13"/>
    <mergeCell ref="G9:N9"/>
    <mergeCell ref="G23:N2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3" customWidth="1" min="9" max="9"/>
    <col width="13" customWidth="1" min="10" max="10"/>
    <col width="3" customWidth="1" min="18" max="18"/>
  </cols>
  <sheetData>
    <row r="1" ht="31.5" customHeight="1">
      <c r="A1" s="1" t="inlineStr">
        <is>
          <t>Task 3   Building tables of interest factors</t>
        </is>
      </c>
    </row>
    <row r="2" ht="30" customHeight="1">
      <c r="A2" s="2" t="inlineStr">
        <is>
          <t>Textbooks and exams use tables of interest factors. Here you build your own with one formula each, then use them to answer annuity questions.</t>
        </is>
      </c>
    </row>
    <row r="4">
      <c r="A4" s="4" t="inlineStr">
        <is>
          <t>Future value interest factors</t>
        </is>
      </c>
      <c r="J4" s="4" t="inlineStr">
        <is>
          <t>What to do</t>
        </is>
      </c>
    </row>
    <row r="5" ht="15" customHeight="1">
      <c r="A5" s="8" t="inlineStr">
        <is>
          <t>Periods, n</t>
        </is>
      </c>
      <c r="B5" s="26" t="n">
        <v>0.02</v>
      </c>
      <c r="C5" s="26" t="n">
        <v>0.03</v>
      </c>
      <c r="D5" s="26" t="n">
        <v>0.04</v>
      </c>
      <c r="E5" s="26" t="n">
        <v>0.05</v>
      </c>
      <c r="F5" s="26" t="n">
        <v>0.06</v>
      </c>
      <c r="G5" s="26" t="n">
        <v>0.07000000000000001</v>
      </c>
      <c r="H5" s="26" t="n">
        <v>0.08</v>
      </c>
      <c r="J5" s="9" t="inlineStr">
        <is>
          <t>1. In B6, write ONE formula for the future value interest factor ((1 + r)^n − 1) ÷ r. Take r from row 5 and n from column A, using mixed references: B$5 and $A6.</t>
        </is>
      </c>
    </row>
    <row r="6">
      <c r="A6" s="27" t="n">
        <v>1</v>
      </c>
      <c r="B6" s="28">
        <f>((1+B$5)^$A6-1)/B$5</f>
        <v/>
      </c>
      <c r="C6" s="28">
        <f>((1+C$5)^$A6-1)/C$5</f>
        <v/>
      </c>
      <c r="D6" s="28">
        <f>((1+D$5)^$A6-1)/D$5</f>
        <v/>
      </c>
      <c r="E6" s="28">
        <f>((1+E$5)^$A6-1)/E$5</f>
        <v/>
      </c>
      <c r="F6" s="28">
        <f>((1+F$5)^$A6-1)/F$5</f>
        <v/>
      </c>
      <c r="G6" s="28">
        <f>((1+G$5)^$A6-1)/G$5</f>
        <v/>
      </c>
      <c r="H6" s="28">
        <f>((1+H$5)^$A6-1)/H$5</f>
        <v/>
      </c>
    </row>
    <row r="7">
      <c r="A7" s="27" t="n">
        <v>2</v>
      </c>
      <c r="B7" s="28">
        <f>((1+B$5)^$A7-1)/B$5</f>
        <v/>
      </c>
      <c r="C7" s="28">
        <f>((1+C$5)^$A7-1)/C$5</f>
        <v/>
      </c>
      <c r="D7" s="28">
        <f>((1+D$5)^$A7-1)/D$5</f>
        <v/>
      </c>
      <c r="E7" s="28">
        <f>((1+E$5)^$A7-1)/E$5</f>
        <v/>
      </c>
      <c r="F7" s="28">
        <f>((1+F$5)^$A7-1)/F$5</f>
        <v/>
      </c>
      <c r="G7" s="28">
        <f>((1+G$5)^$A7-1)/G$5</f>
        <v/>
      </c>
      <c r="H7" s="28">
        <f>((1+H$5)^$A7-1)/H$5</f>
        <v/>
      </c>
      <c r="J7" s="9" t="inlineStr">
        <is>
          <t>2. Fill the formula across to column H, then down to row 25.</t>
        </is>
      </c>
    </row>
    <row r="8">
      <c r="A8" s="27" t="n">
        <v>3</v>
      </c>
      <c r="B8" s="28">
        <f>((1+B$5)^$A8-1)/B$5</f>
        <v/>
      </c>
      <c r="C8" s="28">
        <f>((1+C$5)^$A8-1)/C$5</f>
        <v/>
      </c>
      <c r="D8" s="28">
        <f>((1+D$5)^$A8-1)/D$5</f>
        <v/>
      </c>
      <c r="E8" s="28">
        <f>((1+E$5)^$A8-1)/E$5</f>
        <v/>
      </c>
      <c r="F8" s="28">
        <f>((1+F$5)^$A8-1)/F$5</f>
        <v/>
      </c>
      <c r="G8" s="28">
        <f>((1+G$5)^$A8-1)/G$5</f>
        <v/>
      </c>
      <c r="H8" s="28">
        <f>((1+H$5)^$A8-1)/H$5</f>
        <v/>
      </c>
      <c r="J8" s="9" t="inlineStr">
        <is>
          <t>3. Do the same in B29 for the present value interest factor (1 − (1 + r)^−n) ÷ r, taking r from row 28.</t>
        </is>
      </c>
    </row>
    <row r="9">
      <c r="A9" s="27" t="n">
        <v>4</v>
      </c>
      <c r="B9" s="28">
        <f>((1+B$5)^$A9-1)/B$5</f>
        <v/>
      </c>
      <c r="C9" s="28">
        <f>((1+C$5)^$A9-1)/C$5</f>
        <v/>
      </c>
      <c r="D9" s="28">
        <f>((1+D$5)^$A9-1)/D$5</f>
        <v/>
      </c>
      <c r="E9" s="28">
        <f>((1+E$5)^$A9-1)/E$5</f>
        <v/>
      </c>
      <c r="F9" s="28">
        <f>((1+F$5)^$A9-1)/F$5</f>
        <v/>
      </c>
      <c r="G9" s="28">
        <f>((1+G$5)^$A9-1)/G$5</f>
        <v/>
      </c>
      <c r="H9" s="28">
        <f>((1+H$5)^$A9-1)/H$5</f>
        <v/>
      </c>
    </row>
    <row r="10">
      <c r="A10" s="27" t="n">
        <v>5</v>
      </c>
      <c r="B10" s="28">
        <f>((1+B$5)^$A10-1)/B$5</f>
        <v/>
      </c>
      <c r="C10" s="28">
        <f>((1+C$5)^$A10-1)/C$5</f>
        <v/>
      </c>
      <c r="D10" s="28">
        <f>((1+D$5)^$A10-1)/D$5</f>
        <v/>
      </c>
      <c r="E10" s="28">
        <f>((1+E$5)^$A10-1)/E$5</f>
        <v/>
      </c>
      <c r="F10" s="28">
        <f>((1+F$5)^$A10-1)/F$5</f>
        <v/>
      </c>
      <c r="G10" s="28">
        <f>((1+G$5)^$A10-1)/G$5</f>
        <v/>
      </c>
      <c r="H10" s="28">
        <f>((1+H$5)^$A10-1)/H$5</f>
        <v/>
      </c>
      <c r="J10" s="13" t="inlineStr">
        <is>
          <t>Check: n = 20 at 8%: the future value factor should be 45.7620 and the present value factor 9.8181.</t>
        </is>
      </c>
    </row>
    <row r="11">
      <c r="A11" s="27" t="n">
        <v>6</v>
      </c>
      <c r="B11" s="28">
        <f>((1+B$5)^$A11-1)/B$5</f>
        <v/>
      </c>
      <c r="C11" s="28">
        <f>((1+C$5)^$A11-1)/C$5</f>
        <v/>
      </c>
      <c r="D11" s="28">
        <f>((1+D$5)^$A11-1)/D$5</f>
        <v/>
      </c>
      <c r="E11" s="28">
        <f>((1+E$5)^$A11-1)/E$5</f>
        <v/>
      </c>
      <c r="F11" s="28">
        <f>((1+F$5)^$A11-1)/F$5</f>
        <v/>
      </c>
      <c r="G11" s="28">
        <f>((1+G$5)^$A11-1)/G$5</f>
        <v/>
      </c>
      <c r="H11" s="28">
        <f>((1+H$5)^$A11-1)/H$5</f>
        <v/>
      </c>
    </row>
    <row r="12">
      <c r="A12" s="27" t="n">
        <v>7</v>
      </c>
      <c r="B12" s="28">
        <f>((1+B$5)^$A12-1)/B$5</f>
        <v/>
      </c>
      <c r="C12" s="28">
        <f>((1+C$5)^$A12-1)/C$5</f>
        <v/>
      </c>
      <c r="D12" s="28">
        <f>((1+D$5)^$A12-1)/D$5</f>
        <v/>
      </c>
      <c r="E12" s="28">
        <f>((1+E$5)^$A12-1)/E$5</f>
        <v/>
      </c>
      <c r="F12" s="28">
        <f>((1+F$5)^$A12-1)/F$5</f>
        <v/>
      </c>
      <c r="G12" s="28">
        <f>((1+G$5)^$A12-1)/G$5</f>
        <v/>
      </c>
      <c r="H12" s="28">
        <f>((1+H$5)^$A12-1)/H$5</f>
        <v/>
      </c>
    </row>
    <row r="13">
      <c r="A13" s="27" t="n">
        <v>8</v>
      </c>
      <c r="B13" s="28">
        <f>((1+B$5)^$A13-1)/B$5</f>
        <v/>
      </c>
      <c r="C13" s="28">
        <f>((1+C$5)^$A13-1)/C$5</f>
        <v/>
      </c>
      <c r="D13" s="28">
        <f>((1+D$5)^$A13-1)/D$5</f>
        <v/>
      </c>
      <c r="E13" s="28">
        <f>((1+E$5)^$A13-1)/E$5</f>
        <v/>
      </c>
      <c r="F13" s="28">
        <f>((1+F$5)^$A13-1)/F$5</f>
        <v/>
      </c>
      <c r="G13" s="28">
        <f>((1+G$5)^$A13-1)/G$5</f>
        <v/>
      </c>
      <c r="H13" s="28">
        <f>((1+H$5)^$A13-1)/H$5</f>
        <v/>
      </c>
      <c r="J13" s="4" t="inlineStr">
        <is>
          <t>Questions – worked answers</t>
        </is>
      </c>
    </row>
    <row r="14">
      <c r="A14" s="27" t="n">
        <v>9</v>
      </c>
      <c r="B14" s="28">
        <f>((1+B$5)^$A14-1)/B$5</f>
        <v/>
      </c>
      <c r="C14" s="28">
        <f>((1+C$5)^$A14-1)/C$5</f>
        <v/>
      </c>
      <c r="D14" s="28">
        <f>((1+D$5)^$A14-1)/D$5</f>
        <v/>
      </c>
      <c r="E14" s="28">
        <f>((1+E$5)^$A14-1)/E$5</f>
        <v/>
      </c>
      <c r="F14" s="28">
        <f>((1+F$5)^$A14-1)/F$5</f>
        <v/>
      </c>
      <c r="G14" s="28">
        <f>((1+G$5)^$A14-1)/G$5</f>
        <v/>
      </c>
      <c r="H14" s="28">
        <f>((1+H$5)^$A14-1)/H$5</f>
        <v/>
      </c>
      <c r="J14" s="13" t="inlineStr">
        <is>
          <t>Q1.  Use your future value table to find the value of $1,200 per year for 15 years at 5% p.a.</t>
        </is>
      </c>
    </row>
    <row r="15">
      <c r="A15" s="27" t="n">
        <v>10</v>
      </c>
      <c r="B15" s="28">
        <f>((1+B$5)^$A15-1)/B$5</f>
        <v/>
      </c>
      <c r="C15" s="28">
        <f>((1+C$5)^$A15-1)/C$5</f>
        <v/>
      </c>
      <c r="D15" s="28">
        <f>((1+D$5)^$A15-1)/D$5</f>
        <v/>
      </c>
      <c r="E15" s="28">
        <f>((1+E$5)^$A15-1)/E$5</f>
        <v/>
      </c>
      <c r="F15" s="28">
        <f>((1+F$5)^$A15-1)/F$5</f>
        <v/>
      </c>
      <c r="G15" s="28">
        <f>((1+G$5)^$A15-1)/G$5</f>
        <v/>
      </c>
      <c r="H15" s="28">
        <f>((1+H$5)^$A15-1)/H$5</f>
        <v/>
      </c>
    </row>
    <row r="16">
      <c r="A16" s="27" t="n">
        <v>11</v>
      </c>
      <c r="B16" s="28">
        <f>((1+B$5)^$A16-1)/B$5</f>
        <v/>
      </c>
      <c r="C16" s="28">
        <f>((1+C$5)^$A16-1)/C$5</f>
        <v/>
      </c>
      <c r="D16" s="28">
        <f>((1+D$5)^$A16-1)/D$5</f>
        <v/>
      </c>
      <c r="E16" s="28">
        <f>((1+E$5)^$A16-1)/E$5</f>
        <v/>
      </c>
      <c r="F16" s="28">
        <f>((1+F$5)^$A16-1)/F$5</f>
        <v/>
      </c>
      <c r="G16" s="28">
        <f>((1+G$5)^$A16-1)/G$5</f>
        <v/>
      </c>
      <c r="H16" s="28">
        <f>((1+H$5)^$A16-1)/H$5</f>
        <v/>
      </c>
      <c r="J16" s="15" t="inlineStr">
        <is>
          <t>Factor 21.5786, so FV = 1200 × 21.5786 = $25,894.28.</t>
        </is>
      </c>
      <c r="K16" s="16" t="n"/>
      <c r="L16" s="16" t="n"/>
      <c r="M16" s="16" t="n"/>
      <c r="N16" s="16" t="n"/>
      <c r="O16" s="16" t="n"/>
      <c r="P16" s="16" t="n"/>
      <c r="Q16" s="17" t="n"/>
    </row>
    <row r="17">
      <c r="A17" s="27" t="n">
        <v>12</v>
      </c>
      <c r="B17" s="28">
        <f>((1+B$5)^$A17-1)/B$5</f>
        <v/>
      </c>
      <c r="C17" s="28">
        <f>((1+C$5)^$A17-1)/C$5</f>
        <v/>
      </c>
      <c r="D17" s="28">
        <f>((1+D$5)^$A17-1)/D$5</f>
        <v/>
      </c>
      <c r="E17" s="28">
        <f>((1+E$5)^$A17-1)/E$5</f>
        <v/>
      </c>
      <c r="F17" s="28">
        <f>((1+F$5)^$A17-1)/F$5</f>
        <v/>
      </c>
      <c r="G17" s="28">
        <f>((1+G$5)^$A17-1)/G$5</f>
        <v/>
      </c>
      <c r="H17" s="28">
        <f>((1+H$5)^$A17-1)/H$5</f>
        <v/>
      </c>
      <c r="J17" s="20" t="n"/>
      <c r="Q17" s="21" t="n"/>
    </row>
    <row r="18">
      <c r="A18" s="27" t="n">
        <v>13</v>
      </c>
      <c r="B18" s="28">
        <f>((1+B$5)^$A18-1)/B$5</f>
        <v/>
      </c>
      <c r="C18" s="28">
        <f>((1+C$5)^$A18-1)/C$5</f>
        <v/>
      </c>
      <c r="D18" s="28">
        <f>((1+D$5)^$A18-1)/D$5</f>
        <v/>
      </c>
      <c r="E18" s="28">
        <f>((1+E$5)^$A18-1)/E$5</f>
        <v/>
      </c>
      <c r="F18" s="28">
        <f>((1+F$5)^$A18-1)/F$5</f>
        <v/>
      </c>
      <c r="G18" s="28">
        <f>((1+G$5)^$A18-1)/G$5</f>
        <v/>
      </c>
      <c r="H18" s="28">
        <f>((1+H$5)^$A18-1)/H$5</f>
        <v/>
      </c>
      <c r="J18" s="23" t="n"/>
      <c r="K18" s="24" t="n"/>
      <c r="L18" s="24" t="n"/>
      <c r="M18" s="24" t="n"/>
      <c r="N18" s="24" t="n"/>
      <c r="O18" s="24" t="n"/>
      <c r="P18" s="24" t="n"/>
      <c r="Q18" s="25" t="n"/>
    </row>
    <row r="19">
      <c r="A19" s="27" t="n">
        <v>14</v>
      </c>
      <c r="B19" s="28">
        <f>((1+B$5)^$A19-1)/B$5</f>
        <v/>
      </c>
      <c r="C19" s="28">
        <f>((1+C$5)^$A19-1)/C$5</f>
        <v/>
      </c>
      <c r="D19" s="28">
        <f>((1+D$5)^$A19-1)/D$5</f>
        <v/>
      </c>
      <c r="E19" s="28">
        <f>((1+E$5)^$A19-1)/E$5</f>
        <v/>
      </c>
      <c r="F19" s="28">
        <f>((1+F$5)^$A19-1)/F$5</f>
        <v/>
      </c>
      <c r="G19" s="28">
        <f>((1+G$5)^$A19-1)/G$5</f>
        <v/>
      </c>
      <c r="H19" s="28">
        <f>((1+H$5)^$A19-1)/H$5</f>
        <v/>
      </c>
    </row>
    <row r="20">
      <c r="A20" s="27" t="n">
        <v>15</v>
      </c>
      <c r="B20" s="28">
        <f>((1+B$5)^$A20-1)/B$5</f>
        <v/>
      </c>
      <c r="C20" s="28">
        <f>((1+C$5)^$A20-1)/C$5</f>
        <v/>
      </c>
      <c r="D20" s="28">
        <f>((1+D$5)^$A20-1)/D$5</f>
        <v/>
      </c>
      <c r="E20" s="28">
        <f>((1+E$5)^$A20-1)/E$5</f>
        <v/>
      </c>
      <c r="F20" s="28">
        <f>((1+F$5)^$A20-1)/F$5</f>
        <v/>
      </c>
      <c r="G20" s="28">
        <f>((1+G$5)^$A20-1)/G$5</f>
        <v/>
      </c>
      <c r="H20" s="28">
        <f>((1+H$5)^$A20-1)/H$5</f>
        <v/>
      </c>
      <c r="J20" s="13" t="inlineStr">
        <is>
          <t>Q2.  Use your present value table to find the present value of $500 per period for 10 periods at 3% per period.</t>
        </is>
      </c>
    </row>
    <row r="21">
      <c r="A21" s="27" t="n">
        <v>16</v>
      </c>
      <c r="B21" s="28">
        <f>((1+B$5)^$A21-1)/B$5</f>
        <v/>
      </c>
      <c r="C21" s="28">
        <f>((1+C$5)^$A21-1)/C$5</f>
        <v/>
      </c>
      <c r="D21" s="28">
        <f>((1+D$5)^$A21-1)/D$5</f>
        <v/>
      </c>
      <c r="E21" s="28">
        <f>((1+E$5)^$A21-1)/E$5</f>
        <v/>
      </c>
      <c r="F21" s="28">
        <f>((1+F$5)^$A21-1)/F$5</f>
        <v/>
      </c>
      <c r="G21" s="28">
        <f>((1+G$5)^$A21-1)/G$5</f>
        <v/>
      </c>
      <c r="H21" s="28">
        <f>((1+H$5)^$A21-1)/H$5</f>
        <v/>
      </c>
    </row>
    <row r="22">
      <c r="A22" s="27" t="n">
        <v>17</v>
      </c>
      <c r="B22" s="28">
        <f>((1+B$5)^$A22-1)/B$5</f>
        <v/>
      </c>
      <c r="C22" s="28">
        <f>((1+C$5)^$A22-1)/C$5</f>
        <v/>
      </c>
      <c r="D22" s="28">
        <f>((1+D$5)^$A22-1)/D$5</f>
        <v/>
      </c>
      <c r="E22" s="28">
        <f>((1+E$5)^$A22-1)/E$5</f>
        <v/>
      </c>
      <c r="F22" s="28">
        <f>((1+F$5)^$A22-1)/F$5</f>
        <v/>
      </c>
      <c r="G22" s="28">
        <f>((1+G$5)^$A22-1)/G$5</f>
        <v/>
      </c>
      <c r="H22" s="28">
        <f>((1+H$5)^$A22-1)/H$5</f>
        <v/>
      </c>
      <c r="J22" s="15" t="inlineStr">
        <is>
          <t>Factor 8.5302, so PV = 500 × 8.5302 = $4,265.10.</t>
        </is>
      </c>
      <c r="K22" s="16" t="n"/>
      <c r="L22" s="16" t="n"/>
      <c r="M22" s="16" t="n"/>
      <c r="N22" s="16" t="n"/>
      <c r="O22" s="16" t="n"/>
      <c r="P22" s="16" t="n"/>
      <c r="Q22" s="17" t="n"/>
    </row>
    <row r="23">
      <c r="A23" s="27" t="n">
        <v>18</v>
      </c>
      <c r="B23" s="28">
        <f>((1+B$5)^$A23-1)/B$5</f>
        <v/>
      </c>
      <c r="C23" s="28">
        <f>((1+C$5)^$A23-1)/C$5</f>
        <v/>
      </c>
      <c r="D23" s="28">
        <f>((1+D$5)^$A23-1)/D$5</f>
        <v/>
      </c>
      <c r="E23" s="28">
        <f>((1+E$5)^$A23-1)/E$5</f>
        <v/>
      </c>
      <c r="F23" s="28">
        <f>((1+F$5)^$A23-1)/F$5</f>
        <v/>
      </c>
      <c r="G23" s="28">
        <f>((1+G$5)^$A23-1)/G$5</f>
        <v/>
      </c>
      <c r="H23" s="28">
        <f>((1+H$5)^$A23-1)/H$5</f>
        <v/>
      </c>
      <c r="J23" s="20" t="n"/>
      <c r="Q23" s="21" t="n"/>
    </row>
    <row r="24">
      <c r="A24" s="27" t="n">
        <v>19</v>
      </c>
      <c r="B24" s="28">
        <f>((1+B$5)^$A24-1)/B$5</f>
        <v/>
      </c>
      <c r="C24" s="28">
        <f>((1+C$5)^$A24-1)/C$5</f>
        <v/>
      </c>
      <c r="D24" s="28">
        <f>((1+D$5)^$A24-1)/D$5</f>
        <v/>
      </c>
      <c r="E24" s="28">
        <f>((1+E$5)^$A24-1)/E$5</f>
        <v/>
      </c>
      <c r="F24" s="28">
        <f>((1+F$5)^$A24-1)/F$5</f>
        <v/>
      </c>
      <c r="G24" s="28">
        <f>((1+G$5)^$A24-1)/G$5</f>
        <v/>
      </c>
      <c r="H24" s="28">
        <f>((1+H$5)^$A24-1)/H$5</f>
        <v/>
      </c>
      <c r="J24" s="23" t="n"/>
      <c r="K24" s="24" t="n"/>
      <c r="L24" s="24" t="n"/>
      <c r="M24" s="24" t="n"/>
      <c r="N24" s="24" t="n"/>
      <c r="O24" s="24" t="n"/>
      <c r="P24" s="24" t="n"/>
      <c r="Q24" s="25" t="n"/>
    </row>
    <row r="25">
      <c r="A25" s="27" t="n">
        <v>20</v>
      </c>
      <c r="B25" s="28">
        <f>((1+B$5)^$A25-1)/B$5</f>
        <v/>
      </c>
      <c r="C25" s="28">
        <f>((1+C$5)^$A25-1)/C$5</f>
        <v/>
      </c>
      <c r="D25" s="28">
        <f>((1+D$5)^$A25-1)/D$5</f>
        <v/>
      </c>
      <c r="E25" s="28">
        <f>((1+E$5)^$A25-1)/E$5</f>
        <v/>
      </c>
      <c r="F25" s="28">
        <f>((1+F$5)^$A25-1)/F$5</f>
        <v/>
      </c>
      <c r="G25" s="28">
        <f>((1+G$5)^$A25-1)/G$5</f>
        <v/>
      </c>
      <c r="H25" s="28">
        <f>((1+H$5)^$A25-1)/H$5</f>
        <v/>
      </c>
    </row>
    <row r="26">
      <c r="J26" s="13" t="inlineStr">
        <is>
          <t>Q3.  How much must be contributed each year to have $60,000 after 20 years at 6% p.a.?</t>
        </is>
      </c>
    </row>
    <row r="27">
      <c r="A27" s="4" t="inlineStr">
        <is>
          <t>Present value interest factors</t>
        </is>
      </c>
    </row>
    <row r="28" ht="15" customHeight="1">
      <c r="A28" s="8" t="inlineStr">
        <is>
          <t>Periods, n</t>
        </is>
      </c>
      <c r="B28" s="26" t="n">
        <v>0.02</v>
      </c>
      <c r="C28" s="26" t="n">
        <v>0.03</v>
      </c>
      <c r="D28" s="26" t="n">
        <v>0.04</v>
      </c>
      <c r="E28" s="26" t="n">
        <v>0.05</v>
      </c>
      <c r="F28" s="26" t="n">
        <v>0.06</v>
      </c>
      <c r="G28" s="26" t="n">
        <v>0.07000000000000001</v>
      </c>
      <c r="H28" s="26" t="n">
        <v>0.08</v>
      </c>
      <c r="J28" s="15" t="inlineStr">
        <is>
          <t>M = 60000 ÷ 36.7856 = $1,631.07 per year.</t>
        </is>
      </c>
      <c r="K28" s="16" t="n"/>
      <c r="L28" s="16" t="n"/>
      <c r="M28" s="16" t="n"/>
      <c r="N28" s="16" t="n"/>
      <c r="O28" s="16" t="n"/>
      <c r="P28" s="16" t="n"/>
      <c r="Q28" s="17" t="n"/>
    </row>
    <row r="29">
      <c r="A29" s="27" t="n">
        <v>1</v>
      </c>
      <c r="B29" s="28">
        <f>(1-(1+B$28)^-$A29)/B$28</f>
        <v/>
      </c>
      <c r="C29" s="28">
        <f>(1-(1+C$28)^-$A29)/C$28</f>
        <v/>
      </c>
      <c r="D29" s="28">
        <f>(1-(1+D$28)^-$A29)/D$28</f>
        <v/>
      </c>
      <c r="E29" s="28">
        <f>(1-(1+E$28)^-$A29)/E$28</f>
        <v/>
      </c>
      <c r="F29" s="28">
        <f>(1-(1+F$28)^-$A29)/F$28</f>
        <v/>
      </c>
      <c r="G29" s="28">
        <f>(1-(1+G$28)^-$A29)/G$28</f>
        <v/>
      </c>
      <c r="H29" s="28">
        <f>(1-(1+H$28)^-$A29)/H$28</f>
        <v/>
      </c>
      <c r="J29" s="20" t="n"/>
      <c r="Q29" s="21" t="n"/>
    </row>
    <row r="30">
      <c r="A30" s="27" t="n">
        <v>2</v>
      </c>
      <c r="B30" s="28">
        <f>(1-(1+B$28)^-$A30)/B$28</f>
        <v/>
      </c>
      <c r="C30" s="28">
        <f>(1-(1+C$28)^-$A30)/C$28</f>
        <v/>
      </c>
      <c r="D30" s="28">
        <f>(1-(1+D$28)^-$A30)/D$28</f>
        <v/>
      </c>
      <c r="E30" s="28">
        <f>(1-(1+E$28)^-$A30)/E$28</f>
        <v/>
      </c>
      <c r="F30" s="28">
        <f>(1-(1+F$28)^-$A30)/F$28</f>
        <v/>
      </c>
      <c r="G30" s="28">
        <f>(1-(1+G$28)^-$A30)/G$28</f>
        <v/>
      </c>
      <c r="H30" s="28">
        <f>(1-(1+H$28)^-$A30)/H$28</f>
        <v/>
      </c>
      <c r="J30" s="23" t="n"/>
      <c r="K30" s="24" t="n"/>
      <c r="L30" s="24" t="n"/>
      <c r="M30" s="24" t="n"/>
      <c r="N30" s="24" t="n"/>
      <c r="O30" s="24" t="n"/>
      <c r="P30" s="24" t="n"/>
      <c r="Q30" s="25" t="n"/>
    </row>
    <row r="31">
      <c r="A31" s="27" t="n">
        <v>3</v>
      </c>
      <c r="B31" s="28">
        <f>(1-(1+B$28)^-$A31)/B$28</f>
        <v/>
      </c>
      <c r="C31" s="28">
        <f>(1-(1+C$28)^-$A31)/C$28</f>
        <v/>
      </c>
      <c r="D31" s="28">
        <f>(1-(1+D$28)^-$A31)/D$28</f>
        <v/>
      </c>
      <c r="E31" s="28">
        <f>(1-(1+E$28)^-$A31)/E$28</f>
        <v/>
      </c>
      <c r="F31" s="28">
        <f>(1-(1+F$28)^-$A31)/F$28</f>
        <v/>
      </c>
      <c r="G31" s="28">
        <f>(1-(1+G$28)^-$A31)/G$28</f>
        <v/>
      </c>
      <c r="H31" s="28">
        <f>(1-(1+H$28)^-$A31)/H$28</f>
        <v/>
      </c>
    </row>
    <row r="32">
      <c r="A32" s="27" t="n">
        <v>4</v>
      </c>
      <c r="B32" s="28">
        <f>(1-(1+B$28)^-$A32)/B$28</f>
        <v/>
      </c>
      <c r="C32" s="28">
        <f>(1-(1+C$28)^-$A32)/C$28</f>
        <v/>
      </c>
      <c r="D32" s="28">
        <f>(1-(1+D$28)^-$A32)/D$28</f>
        <v/>
      </c>
      <c r="E32" s="28">
        <f>(1-(1+E$28)^-$A32)/E$28</f>
        <v/>
      </c>
      <c r="F32" s="28">
        <f>(1-(1+F$28)^-$A32)/F$28</f>
        <v/>
      </c>
      <c r="G32" s="28">
        <f>(1-(1+G$28)^-$A32)/G$28</f>
        <v/>
      </c>
      <c r="H32" s="28">
        <f>(1-(1+H$28)^-$A32)/H$28</f>
        <v/>
      </c>
      <c r="J32" s="13" t="inlineStr">
        <is>
          <t>Q4.  Explain what the $ signs in B$5 and $A6 do, and why the formula needs both.</t>
        </is>
      </c>
    </row>
    <row r="33">
      <c r="A33" s="27" t="n">
        <v>5</v>
      </c>
      <c r="B33" s="28">
        <f>(1-(1+B$28)^-$A33)/B$28</f>
        <v/>
      </c>
      <c r="C33" s="28">
        <f>(1-(1+C$28)^-$A33)/C$28</f>
        <v/>
      </c>
      <c r="D33" s="28">
        <f>(1-(1+D$28)^-$A33)/D$28</f>
        <v/>
      </c>
      <c r="E33" s="28">
        <f>(1-(1+E$28)^-$A33)/E$28</f>
        <v/>
      </c>
      <c r="F33" s="28">
        <f>(1-(1+F$28)^-$A33)/F$28</f>
        <v/>
      </c>
      <c r="G33" s="28">
        <f>(1-(1+G$28)^-$A33)/G$28</f>
        <v/>
      </c>
      <c r="H33" s="28">
        <f>(1-(1+H$28)^-$A33)/H$28</f>
        <v/>
      </c>
      <c r="J33" s="15" t="inlineStr">
        <is>
          <t>B$5 locks the row, so when the formula is filled down it still reads the rate from row 5. $A6 locks the column, so when it is filled across it still reads n from column A. Without both, the formula would read the wrong cells in most of the table.</t>
        </is>
      </c>
      <c r="K33" s="16" t="n"/>
      <c r="L33" s="16" t="n"/>
      <c r="M33" s="16" t="n"/>
      <c r="N33" s="16" t="n"/>
      <c r="O33" s="16" t="n"/>
      <c r="P33" s="16" t="n"/>
      <c r="Q33" s="17" t="n"/>
    </row>
    <row r="34">
      <c r="A34" s="27" t="n">
        <v>6</v>
      </c>
      <c r="B34" s="28">
        <f>(1-(1+B$28)^-$A34)/B$28</f>
        <v/>
      </c>
      <c r="C34" s="28">
        <f>(1-(1+C$28)^-$A34)/C$28</f>
        <v/>
      </c>
      <c r="D34" s="28">
        <f>(1-(1+D$28)^-$A34)/D$28</f>
        <v/>
      </c>
      <c r="E34" s="28">
        <f>(1-(1+E$28)^-$A34)/E$28</f>
        <v/>
      </c>
      <c r="F34" s="28">
        <f>(1-(1+F$28)^-$A34)/F$28</f>
        <v/>
      </c>
      <c r="G34" s="28">
        <f>(1-(1+G$28)^-$A34)/G$28</f>
        <v/>
      </c>
      <c r="H34" s="28">
        <f>(1-(1+H$28)^-$A34)/H$28</f>
        <v/>
      </c>
      <c r="J34" s="20" t="n"/>
      <c r="Q34" s="21" t="n"/>
    </row>
    <row r="35">
      <c r="A35" s="27" t="n">
        <v>7</v>
      </c>
      <c r="B35" s="28">
        <f>(1-(1+B$28)^-$A35)/B$28</f>
        <v/>
      </c>
      <c r="C35" s="28">
        <f>(1-(1+C$28)^-$A35)/C$28</f>
        <v/>
      </c>
      <c r="D35" s="28">
        <f>(1-(1+D$28)^-$A35)/D$28</f>
        <v/>
      </c>
      <c r="E35" s="28">
        <f>(1-(1+E$28)^-$A35)/E$28</f>
        <v/>
      </c>
      <c r="F35" s="28">
        <f>(1-(1+F$28)^-$A35)/F$28</f>
        <v/>
      </c>
      <c r="G35" s="28">
        <f>(1-(1+G$28)^-$A35)/G$28</f>
        <v/>
      </c>
      <c r="H35" s="28">
        <f>(1-(1+H$28)^-$A35)/H$28</f>
        <v/>
      </c>
      <c r="J35" s="20" t="n"/>
      <c r="Q35" s="21" t="n"/>
    </row>
    <row r="36">
      <c r="A36" s="27" t="n">
        <v>8</v>
      </c>
      <c r="B36" s="28">
        <f>(1-(1+B$28)^-$A36)/B$28</f>
        <v/>
      </c>
      <c r="C36" s="28">
        <f>(1-(1+C$28)^-$A36)/C$28</f>
        <v/>
      </c>
      <c r="D36" s="28">
        <f>(1-(1+D$28)^-$A36)/D$28</f>
        <v/>
      </c>
      <c r="E36" s="28">
        <f>(1-(1+E$28)^-$A36)/E$28</f>
        <v/>
      </c>
      <c r="F36" s="28">
        <f>(1-(1+F$28)^-$A36)/F$28</f>
        <v/>
      </c>
      <c r="G36" s="28">
        <f>(1-(1+G$28)^-$A36)/G$28</f>
        <v/>
      </c>
      <c r="H36" s="28">
        <f>(1-(1+H$28)^-$A36)/H$28</f>
        <v/>
      </c>
      <c r="J36" s="23" t="n"/>
      <c r="K36" s="24" t="n"/>
      <c r="L36" s="24" t="n"/>
      <c r="M36" s="24" t="n"/>
      <c r="N36" s="24" t="n"/>
      <c r="O36" s="24" t="n"/>
      <c r="P36" s="24" t="n"/>
      <c r="Q36" s="25" t="n"/>
    </row>
    <row r="37">
      <c r="A37" s="27" t="n">
        <v>9</v>
      </c>
      <c r="B37" s="28">
        <f>(1-(1+B$28)^-$A37)/B$28</f>
        <v/>
      </c>
      <c r="C37" s="28">
        <f>(1-(1+C$28)^-$A37)/C$28</f>
        <v/>
      </c>
      <c r="D37" s="28">
        <f>(1-(1+D$28)^-$A37)/D$28</f>
        <v/>
      </c>
      <c r="E37" s="28">
        <f>(1-(1+E$28)^-$A37)/E$28</f>
        <v/>
      </c>
      <c r="F37" s="28">
        <f>(1-(1+F$28)^-$A37)/F$28</f>
        <v/>
      </c>
      <c r="G37" s="28">
        <f>(1-(1+G$28)^-$A37)/G$28</f>
        <v/>
      </c>
      <c r="H37" s="28">
        <f>(1-(1+H$28)^-$A37)/H$28</f>
        <v/>
      </c>
    </row>
    <row r="38">
      <c r="A38" s="27" t="n">
        <v>10</v>
      </c>
      <c r="B38" s="28">
        <f>(1-(1+B$28)^-$A38)/B$28</f>
        <v/>
      </c>
      <c r="C38" s="28">
        <f>(1-(1+C$28)^-$A38)/C$28</f>
        <v/>
      </c>
      <c r="D38" s="28">
        <f>(1-(1+D$28)^-$A38)/D$28</f>
        <v/>
      </c>
      <c r="E38" s="28">
        <f>(1-(1+E$28)^-$A38)/E$28</f>
        <v/>
      </c>
      <c r="F38" s="28">
        <f>(1-(1+F$28)^-$A38)/F$28</f>
        <v/>
      </c>
      <c r="G38" s="28">
        <f>(1-(1+G$28)^-$A38)/G$28</f>
        <v/>
      </c>
      <c r="H38" s="28">
        <f>(1-(1+H$28)^-$A38)/H$28</f>
        <v/>
      </c>
    </row>
    <row r="39">
      <c r="A39" s="27" t="n">
        <v>11</v>
      </c>
      <c r="B39" s="28">
        <f>(1-(1+B$28)^-$A39)/B$28</f>
        <v/>
      </c>
      <c r="C39" s="28">
        <f>(1-(1+C$28)^-$A39)/C$28</f>
        <v/>
      </c>
      <c r="D39" s="28">
        <f>(1-(1+D$28)^-$A39)/D$28</f>
        <v/>
      </c>
      <c r="E39" s="28">
        <f>(1-(1+E$28)^-$A39)/E$28</f>
        <v/>
      </c>
      <c r="F39" s="28">
        <f>(1-(1+F$28)^-$A39)/F$28</f>
        <v/>
      </c>
      <c r="G39" s="28">
        <f>(1-(1+G$28)^-$A39)/G$28</f>
        <v/>
      </c>
      <c r="H39" s="28">
        <f>(1-(1+H$28)^-$A39)/H$28</f>
        <v/>
      </c>
    </row>
    <row r="40">
      <c r="A40" s="27" t="n">
        <v>12</v>
      </c>
      <c r="B40" s="28">
        <f>(1-(1+B$28)^-$A40)/B$28</f>
        <v/>
      </c>
      <c r="C40" s="28">
        <f>(1-(1+C$28)^-$A40)/C$28</f>
        <v/>
      </c>
      <c r="D40" s="28">
        <f>(1-(1+D$28)^-$A40)/D$28</f>
        <v/>
      </c>
      <c r="E40" s="28">
        <f>(1-(1+E$28)^-$A40)/E$28</f>
        <v/>
      </c>
      <c r="F40" s="28">
        <f>(1-(1+F$28)^-$A40)/F$28</f>
        <v/>
      </c>
      <c r="G40" s="28">
        <f>(1-(1+G$28)^-$A40)/G$28</f>
        <v/>
      </c>
      <c r="H40" s="28">
        <f>(1-(1+H$28)^-$A40)/H$28</f>
        <v/>
      </c>
    </row>
    <row r="41">
      <c r="A41" s="27" t="n">
        <v>13</v>
      </c>
      <c r="B41" s="28">
        <f>(1-(1+B$28)^-$A41)/B$28</f>
        <v/>
      </c>
      <c r="C41" s="28">
        <f>(1-(1+C$28)^-$A41)/C$28</f>
        <v/>
      </c>
      <c r="D41" s="28">
        <f>(1-(1+D$28)^-$A41)/D$28</f>
        <v/>
      </c>
      <c r="E41" s="28">
        <f>(1-(1+E$28)^-$A41)/E$28</f>
        <v/>
      </c>
      <c r="F41" s="28">
        <f>(1-(1+F$28)^-$A41)/F$28</f>
        <v/>
      </c>
      <c r="G41" s="28">
        <f>(1-(1+G$28)^-$A41)/G$28</f>
        <v/>
      </c>
      <c r="H41" s="28">
        <f>(1-(1+H$28)^-$A41)/H$28</f>
        <v/>
      </c>
    </row>
    <row r="42">
      <c r="A42" s="27" t="n">
        <v>14</v>
      </c>
      <c r="B42" s="28">
        <f>(1-(1+B$28)^-$A42)/B$28</f>
        <v/>
      </c>
      <c r="C42" s="28">
        <f>(1-(1+C$28)^-$A42)/C$28</f>
        <v/>
      </c>
      <c r="D42" s="28">
        <f>(1-(1+D$28)^-$A42)/D$28</f>
        <v/>
      </c>
      <c r="E42" s="28">
        <f>(1-(1+E$28)^-$A42)/E$28</f>
        <v/>
      </c>
      <c r="F42" s="28">
        <f>(1-(1+F$28)^-$A42)/F$28</f>
        <v/>
      </c>
      <c r="G42" s="28">
        <f>(1-(1+G$28)^-$A42)/G$28</f>
        <v/>
      </c>
      <c r="H42" s="28">
        <f>(1-(1+H$28)^-$A42)/H$28</f>
        <v/>
      </c>
    </row>
    <row r="43">
      <c r="A43" s="27" t="n">
        <v>15</v>
      </c>
      <c r="B43" s="28">
        <f>(1-(1+B$28)^-$A43)/B$28</f>
        <v/>
      </c>
      <c r="C43" s="28">
        <f>(1-(1+C$28)^-$A43)/C$28</f>
        <v/>
      </c>
      <c r="D43" s="28">
        <f>(1-(1+D$28)^-$A43)/D$28</f>
        <v/>
      </c>
      <c r="E43" s="28">
        <f>(1-(1+E$28)^-$A43)/E$28</f>
        <v/>
      </c>
      <c r="F43" s="28">
        <f>(1-(1+F$28)^-$A43)/F$28</f>
        <v/>
      </c>
      <c r="G43" s="28">
        <f>(1-(1+G$28)^-$A43)/G$28</f>
        <v/>
      </c>
      <c r="H43" s="28">
        <f>(1-(1+H$28)^-$A43)/H$28</f>
        <v/>
      </c>
    </row>
    <row r="44">
      <c r="A44" s="27" t="n">
        <v>16</v>
      </c>
      <c r="B44" s="28">
        <f>(1-(1+B$28)^-$A44)/B$28</f>
        <v/>
      </c>
      <c r="C44" s="28">
        <f>(1-(1+C$28)^-$A44)/C$28</f>
        <v/>
      </c>
      <c r="D44" s="28">
        <f>(1-(1+D$28)^-$A44)/D$28</f>
        <v/>
      </c>
      <c r="E44" s="28">
        <f>(1-(1+E$28)^-$A44)/E$28</f>
        <v/>
      </c>
      <c r="F44" s="28">
        <f>(1-(1+F$28)^-$A44)/F$28</f>
        <v/>
      </c>
      <c r="G44" s="28">
        <f>(1-(1+G$28)^-$A44)/G$28</f>
        <v/>
      </c>
      <c r="H44" s="28">
        <f>(1-(1+H$28)^-$A44)/H$28</f>
        <v/>
      </c>
    </row>
    <row r="45">
      <c r="A45" s="27" t="n">
        <v>17</v>
      </c>
      <c r="B45" s="28">
        <f>(1-(1+B$28)^-$A45)/B$28</f>
        <v/>
      </c>
      <c r="C45" s="28">
        <f>(1-(1+C$28)^-$A45)/C$28</f>
        <v/>
      </c>
      <c r="D45" s="28">
        <f>(1-(1+D$28)^-$A45)/D$28</f>
        <v/>
      </c>
      <c r="E45" s="28">
        <f>(1-(1+E$28)^-$A45)/E$28</f>
        <v/>
      </c>
      <c r="F45" s="28">
        <f>(1-(1+F$28)^-$A45)/F$28</f>
        <v/>
      </c>
      <c r="G45" s="28">
        <f>(1-(1+G$28)^-$A45)/G$28</f>
        <v/>
      </c>
      <c r="H45" s="28">
        <f>(1-(1+H$28)^-$A45)/H$28</f>
        <v/>
      </c>
    </row>
    <row r="46">
      <c r="A46" s="27" t="n">
        <v>18</v>
      </c>
      <c r="B46" s="28">
        <f>(1-(1+B$28)^-$A46)/B$28</f>
        <v/>
      </c>
      <c r="C46" s="28">
        <f>(1-(1+C$28)^-$A46)/C$28</f>
        <v/>
      </c>
      <c r="D46" s="28">
        <f>(1-(1+D$28)^-$A46)/D$28</f>
        <v/>
      </c>
      <c r="E46" s="28">
        <f>(1-(1+E$28)^-$A46)/E$28</f>
        <v/>
      </c>
      <c r="F46" s="28">
        <f>(1-(1+F$28)^-$A46)/F$28</f>
        <v/>
      </c>
      <c r="G46" s="28">
        <f>(1-(1+G$28)^-$A46)/G$28</f>
        <v/>
      </c>
      <c r="H46" s="28">
        <f>(1-(1+H$28)^-$A46)/H$28</f>
        <v/>
      </c>
    </row>
    <row r="47">
      <c r="A47" s="27" t="n">
        <v>19</v>
      </c>
      <c r="B47" s="28">
        <f>(1-(1+B$28)^-$A47)/B$28</f>
        <v/>
      </c>
      <c r="C47" s="28">
        <f>(1-(1+C$28)^-$A47)/C$28</f>
        <v/>
      </c>
      <c r="D47" s="28">
        <f>(1-(1+D$28)^-$A47)/D$28</f>
        <v/>
      </c>
      <c r="E47" s="28">
        <f>(1-(1+E$28)^-$A47)/E$28</f>
        <v/>
      </c>
      <c r="F47" s="28">
        <f>(1-(1+F$28)^-$A47)/F$28</f>
        <v/>
      </c>
      <c r="G47" s="28">
        <f>(1-(1+G$28)^-$A47)/G$28</f>
        <v/>
      </c>
      <c r="H47" s="28">
        <f>(1-(1+H$28)^-$A47)/H$28</f>
        <v/>
      </c>
    </row>
    <row r="48">
      <c r="A48" s="27" t="n">
        <v>20</v>
      </c>
      <c r="B48" s="28">
        <f>(1-(1+B$28)^-$A48)/B$28</f>
        <v/>
      </c>
      <c r="C48" s="28">
        <f>(1-(1+C$28)^-$A48)/C$28</f>
        <v/>
      </c>
      <c r="D48" s="28">
        <f>(1-(1+D$28)^-$A48)/D$28</f>
        <v/>
      </c>
      <c r="E48" s="28">
        <f>(1-(1+E$28)^-$A48)/E$28</f>
        <v/>
      </c>
      <c r="F48" s="28">
        <f>(1-(1+F$28)^-$A48)/F$28</f>
        <v/>
      </c>
      <c r="G48" s="28">
        <f>(1-(1+G$28)^-$A48)/G$28</f>
        <v/>
      </c>
      <c r="H48" s="28">
        <f>(1-(1+H$28)^-$A48)/H$28</f>
        <v/>
      </c>
    </row>
  </sheetData>
  <mergeCells count="14">
    <mergeCell ref="J5:Q6"/>
    <mergeCell ref="J8:Q9"/>
    <mergeCell ref="J20:Q21"/>
    <mergeCell ref="J16:Q18"/>
    <mergeCell ref="J33:Q36"/>
    <mergeCell ref="J28:Q30"/>
    <mergeCell ref="J7:Q7"/>
    <mergeCell ref="A2:Q2"/>
    <mergeCell ref="J22:Q24"/>
    <mergeCell ref="J32:Q32"/>
    <mergeCell ref="J10:Q11"/>
    <mergeCell ref="J26:Q27"/>
    <mergeCell ref="A1:Q1"/>
    <mergeCell ref="J14:Q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4   Living off a retirement fund</t>
        </is>
      </c>
    </row>
    <row r="2" ht="30" customHeight="1">
      <c r="A2" s="2" t="inlineStr">
        <is>
          <t>Priya retires with $650,000 in a fund earning 5% p.a. She withdraws $52,000 at the end of every year. How long will the money last?</t>
        </is>
      </c>
    </row>
    <row r="4">
      <c r="A4" s="4" t="inlineStr">
        <is>
          <t>Given information</t>
        </is>
      </c>
      <c r="G4" s="4" t="inlineStr">
        <is>
          <t>What to do</t>
        </is>
      </c>
    </row>
    <row r="5">
      <c r="A5" s="6" t="inlineStr">
        <is>
          <t>Balance at retirement ($)</t>
        </is>
      </c>
      <c r="B5" s="7" t="n">
        <v>650000</v>
      </c>
      <c r="G5" s="9" t="inlineStr">
        <is>
          <t>1. Year 1 is done for you. Read the formula in D15: MIN takes whichever is smaller, the planned withdrawal or the money left, so the balance can never go negative.</t>
        </is>
      </c>
    </row>
    <row r="6">
      <c r="A6" s="6" t="inlineStr">
        <is>
          <t>Interest rate per year</t>
        </is>
      </c>
      <c r="B6" s="10" t="n">
        <v>0.05</v>
      </c>
    </row>
    <row r="7">
      <c r="A7" s="6" t="inlineStr">
        <is>
          <t>Withdrawal at the end of each year ($)</t>
        </is>
      </c>
      <c r="B7" s="7" t="n">
        <v>52000</v>
      </c>
    </row>
    <row r="8">
      <c r="G8" s="9" t="inlineStr">
        <is>
          <t>2. In row 16, write formulas for the opening balance, interest, withdrawal and closing balance. Fill them down to year 30.</t>
        </is>
      </c>
    </row>
    <row r="9">
      <c r="A9" s="4" t="inlineStr">
        <is>
          <t>Your calculations</t>
        </is>
      </c>
    </row>
    <row r="10">
      <c r="A10" s="6" t="inlineStr">
        <is>
          <t>Amount needed to withdraw $52,000 a year for 25 years ($)</t>
        </is>
      </c>
      <c r="B10" s="22">
        <f>$B$7*(1-(1+$B$6)^-25)/$B$6</f>
        <v/>
      </c>
      <c r="G10" s="9" t="inlineStr">
        <is>
          <t>3. In B10 and B11, use the present value formula PV = M(1 − (1 + r)^−n) ÷ r.</t>
        </is>
      </c>
    </row>
    <row r="11">
      <c r="A11" s="6" t="inlineStr">
        <is>
          <t>Largest equal withdrawal that lasts exactly 25 years ($)</t>
        </is>
      </c>
      <c r="B11" s="22">
        <f>$B$5/((1-(1+$B$6)^-25)/$B$6)</f>
        <v/>
      </c>
      <c r="G11" s="13" t="inlineStr">
        <is>
          <t>Check: after 5 years the closing balance should be $542,250.19.</t>
        </is>
      </c>
    </row>
    <row r="13">
      <c r="A13" s="4" t="inlineStr">
        <is>
          <t>Your table</t>
        </is>
      </c>
      <c r="G13" s="4" t="inlineStr">
        <is>
          <t>Questions – worked answers</t>
        </is>
      </c>
    </row>
    <row r="14" ht="31.5" customHeight="1">
      <c r="A14" s="8" t="inlineStr">
        <is>
          <t>Year</t>
        </is>
      </c>
      <c r="B14" s="8" t="inlineStr">
        <is>
          <t>Opening balance ($)</t>
        </is>
      </c>
      <c r="C14" s="8" t="inlineStr">
        <is>
          <t>Interest earned ($)</t>
        </is>
      </c>
      <c r="D14" s="8" t="inlineStr">
        <is>
          <t>Withdrawal ($)</t>
        </is>
      </c>
      <c r="E14" s="8" t="inlineStr">
        <is>
          <t>Closing balance ($)</t>
        </is>
      </c>
      <c r="G14" s="13" t="inlineStr">
        <is>
          <t>Q1.  In which year is Priya’s last full $52,000 withdrawal? What happens the year after?</t>
        </is>
      </c>
    </row>
    <row r="15">
      <c r="A15" s="18" t="n">
        <v>1</v>
      </c>
      <c r="B15" s="19">
        <f>$B$5</f>
        <v/>
      </c>
      <c r="C15" s="19">
        <f>B15*$B$6</f>
        <v/>
      </c>
      <c r="D15" s="19">
        <f>MIN($B$7,B15+C15)</f>
        <v/>
      </c>
      <c r="E15" s="19">
        <f>B15+C15-D15</f>
        <v/>
      </c>
    </row>
    <row r="16">
      <c r="A16" s="18" t="n">
        <v>2</v>
      </c>
      <c r="B16" s="22">
        <f>E15</f>
        <v/>
      </c>
      <c r="C16" s="22">
        <f>B16*$B$6</f>
        <v/>
      </c>
      <c r="D16" s="22">
        <f>MIN($B$7,B16+C16)</f>
        <v/>
      </c>
      <c r="E16" s="22">
        <f>B16+C16-D16</f>
        <v/>
      </c>
      <c r="G16" s="15" t="inlineStr">
        <is>
          <t>Year 20. In year 21 only $5,474.59 is left to withdraw, and the fund is empty.</t>
        </is>
      </c>
      <c r="H16" s="16" t="n"/>
      <c r="I16" s="16" t="n"/>
      <c r="J16" s="16" t="n"/>
      <c r="K16" s="16" t="n"/>
      <c r="L16" s="16" t="n"/>
      <c r="M16" s="16" t="n"/>
      <c r="N16" s="17" t="n"/>
    </row>
    <row r="17">
      <c r="A17" s="18" t="n">
        <v>3</v>
      </c>
      <c r="B17" s="22">
        <f>E16</f>
        <v/>
      </c>
      <c r="C17" s="22">
        <f>B17*$B$6</f>
        <v/>
      </c>
      <c r="D17" s="22">
        <f>MIN($B$7,B17+C17)</f>
        <v/>
      </c>
      <c r="E17" s="22">
        <f>B17+C17-D17</f>
        <v/>
      </c>
      <c r="G17" s="20" t="n"/>
      <c r="N17" s="21" t="n"/>
    </row>
    <row r="18">
      <c r="A18" s="18" t="n">
        <v>4</v>
      </c>
      <c r="B18" s="22">
        <f>E17</f>
        <v/>
      </c>
      <c r="C18" s="22">
        <f>B18*$B$6</f>
        <v/>
      </c>
      <c r="D18" s="22">
        <f>MIN($B$7,B18+C18)</f>
        <v/>
      </c>
      <c r="E18" s="22">
        <f>B18+C18-D18</f>
        <v/>
      </c>
      <c r="G18" s="23" t="n"/>
      <c r="H18" s="24" t="n"/>
      <c r="I18" s="24" t="n"/>
      <c r="J18" s="24" t="n"/>
      <c r="K18" s="24" t="n"/>
      <c r="L18" s="24" t="n"/>
      <c r="M18" s="24" t="n"/>
      <c r="N18" s="25" t="n"/>
    </row>
    <row r="19">
      <c r="A19" s="18" t="n">
        <v>5</v>
      </c>
      <c r="B19" s="22">
        <f>E18</f>
        <v/>
      </c>
      <c r="C19" s="22">
        <f>B19*$B$6</f>
        <v/>
      </c>
      <c r="D19" s="22">
        <f>MIN($B$7,B19+C19)</f>
        <v/>
      </c>
      <c r="E19" s="22">
        <f>B19+C19-D19</f>
        <v/>
      </c>
    </row>
    <row r="20">
      <c r="A20" s="18" t="n">
        <v>6</v>
      </c>
      <c r="B20" s="22">
        <f>E19</f>
        <v/>
      </c>
      <c r="C20" s="22">
        <f>B20*$B$6</f>
        <v/>
      </c>
      <c r="D20" s="22">
        <f>MIN($B$7,B20+C20)</f>
        <v/>
      </c>
      <c r="E20" s="22">
        <f>B20+C20-D20</f>
        <v/>
      </c>
      <c r="G20" s="13" t="inlineStr">
        <is>
          <t>Q2.  What is the balance after 10 years?</t>
        </is>
      </c>
    </row>
    <row r="21">
      <c r="A21" s="18" t="n">
        <v>7</v>
      </c>
      <c r="B21" s="22">
        <f>E20</f>
        <v/>
      </c>
      <c r="C21" s="22">
        <f>B21*$B$6</f>
        <v/>
      </c>
      <c r="D21" s="22">
        <f>MIN($B$7,B21+C21)</f>
        <v/>
      </c>
      <c r="E21" s="22">
        <f>B21+C21-D21</f>
        <v/>
      </c>
      <c r="G21" s="15" t="inlineStr">
        <is>
          <t>$404,731.10.</t>
        </is>
      </c>
      <c r="H21" s="16" t="n"/>
      <c r="I21" s="16" t="n"/>
      <c r="J21" s="16" t="n"/>
      <c r="K21" s="16" t="n"/>
      <c r="L21" s="16" t="n"/>
      <c r="M21" s="16" t="n"/>
      <c r="N21" s="17" t="n"/>
    </row>
    <row r="22">
      <c r="A22" s="18" t="n">
        <v>8</v>
      </c>
      <c r="B22" s="22">
        <f>E21</f>
        <v/>
      </c>
      <c r="C22" s="22">
        <f>B22*$B$6</f>
        <v/>
      </c>
      <c r="D22" s="22">
        <f>MIN($B$7,B22+C22)</f>
        <v/>
      </c>
      <c r="E22" s="22">
        <f>B22+C22-D22</f>
        <v/>
      </c>
      <c r="G22" s="20" t="n"/>
      <c r="N22" s="21" t="n"/>
    </row>
    <row r="23">
      <c r="A23" s="18" t="n">
        <v>9</v>
      </c>
      <c r="B23" s="22">
        <f>E22</f>
        <v/>
      </c>
      <c r="C23" s="22">
        <f>B23*$B$6</f>
        <v/>
      </c>
      <c r="D23" s="22">
        <f>MIN($B$7,B23+C23)</f>
        <v/>
      </c>
      <c r="E23" s="22">
        <f>B23+C23-D23</f>
        <v/>
      </c>
      <c r="G23" s="23" t="n"/>
      <c r="H23" s="24" t="n"/>
      <c r="I23" s="24" t="n"/>
      <c r="J23" s="24" t="n"/>
      <c r="K23" s="24" t="n"/>
      <c r="L23" s="24" t="n"/>
      <c r="M23" s="24" t="n"/>
      <c r="N23" s="25" t="n"/>
    </row>
    <row r="24">
      <c r="A24" s="18" t="n">
        <v>10</v>
      </c>
      <c r="B24" s="22">
        <f>E23</f>
        <v/>
      </c>
      <c r="C24" s="22">
        <f>B24*$B$6</f>
        <v/>
      </c>
      <c r="D24" s="22">
        <f>MIN($B$7,B24+C24)</f>
        <v/>
      </c>
      <c r="E24" s="22">
        <f>B24+C24-D24</f>
        <v/>
      </c>
    </row>
    <row r="25">
      <c r="A25" s="18" t="n">
        <v>11</v>
      </c>
      <c r="B25" s="22">
        <f>E24</f>
        <v/>
      </c>
      <c r="C25" s="22">
        <f>B25*$B$6</f>
        <v/>
      </c>
      <c r="D25" s="22">
        <f>MIN($B$7,B25+C25)</f>
        <v/>
      </c>
      <c r="E25" s="22">
        <f>B25+C25-D25</f>
        <v/>
      </c>
      <c r="G25" s="13" t="inlineStr">
        <is>
          <t>Q3.  How much would Priya need at retirement to withdraw $52,000 a year for 25 years?</t>
        </is>
      </c>
    </row>
    <row r="26">
      <c r="A26" s="18" t="n">
        <v>12</v>
      </c>
      <c r="B26" s="22">
        <f>E25</f>
        <v/>
      </c>
      <c r="C26" s="22">
        <f>B26*$B$6</f>
        <v/>
      </c>
      <c r="D26" s="22">
        <f>MIN($B$7,B26+C26)</f>
        <v/>
      </c>
      <c r="E26" s="22">
        <f>B26+C26-D26</f>
        <v/>
      </c>
    </row>
    <row r="27">
      <c r="A27" s="18" t="n">
        <v>13</v>
      </c>
      <c r="B27" s="22">
        <f>E26</f>
        <v/>
      </c>
      <c r="C27" s="22">
        <f>B27*$B$6</f>
        <v/>
      </c>
      <c r="D27" s="22">
        <f>MIN($B$7,B27+C27)</f>
        <v/>
      </c>
      <c r="E27" s="22">
        <f>B27+C27-D27</f>
        <v/>
      </c>
      <c r="G27" s="15" t="inlineStr">
        <is>
          <t>PV = 52000 × 14.0939 = $732,885.12.</t>
        </is>
      </c>
      <c r="H27" s="16" t="n"/>
      <c r="I27" s="16" t="n"/>
      <c r="J27" s="16" t="n"/>
      <c r="K27" s="16" t="n"/>
      <c r="L27" s="16" t="n"/>
      <c r="M27" s="16" t="n"/>
      <c r="N27" s="17" t="n"/>
    </row>
    <row r="28">
      <c r="A28" s="18" t="n">
        <v>14</v>
      </c>
      <c r="B28" s="22">
        <f>E27</f>
        <v/>
      </c>
      <c r="C28" s="22">
        <f>B28*$B$6</f>
        <v/>
      </c>
      <c r="D28" s="22">
        <f>MIN($B$7,B28+C28)</f>
        <v/>
      </c>
      <c r="E28" s="22">
        <f>B28+C28-D28</f>
        <v/>
      </c>
      <c r="G28" s="20" t="n"/>
      <c r="N28" s="21" t="n"/>
    </row>
    <row r="29">
      <c r="A29" s="18" t="n">
        <v>15</v>
      </c>
      <c r="B29" s="22">
        <f>E28</f>
        <v/>
      </c>
      <c r="C29" s="22">
        <f>B29*$B$6</f>
        <v/>
      </c>
      <c r="D29" s="22">
        <f>MIN($B$7,B29+C29)</f>
        <v/>
      </c>
      <c r="E29" s="22">
        <f>B29+C29-D29</f>
        <v/>
      </c>
      <c r="G29" s="23" t="n"/>
      <c r="H29" s="24" t="n"/>
      <c r="I29" s="24" t="n"/>
      <c r="J29" s="24" t="n"/>
      <c r="K29" s="24" t="n"/>
      <c r="L29" s="24" t="n"/>
      <c r="M29" s="24" t="n"/>
      <c r="N29" s="25" t="n"/>
    </row>
    <row r="30">
      <c r="A30" s="18" t="n">
        <v>16</v>
      </c>
      <c r="B30" s="22">
        <f>E29</f>
        <v/>
      </c>
      <c r="C30" s="22">
        <f>B30*$B$6</f>
        <v/>
      </c>
      <c r="D30" s="22">
        <f>MIN($B$7,B30+C30)</f>
        <v/>
      </c>
      <c r="E30" s="22">
        <f>B30+C30-D30</f>
        <v/>
      </c>
    </row>
    <row r="31">
      <c r="A31" s="18" t="n">
        <v>17</v>
      </c>
      <c r="B31" s="22">
        <f>E30</f>
        <v/>
      </c>
      <c r="C31" s="22">
        <f>B31*$B$6</f>
        <v/>
      </c>
      <c r="D31" s="22">
        <f>MIN($B$7,B31+C31)</f>
        <v/>
      </c>
      <c r="E31" s="22">
        <f>B31+C31-D31</f>
        <v/>
      </c>
      <c r="G31" s="13" t="inlineStr">
        <is>
          <t>Q4.  What is the largest equal yearly withdrawal that would make her $650,000 last exactly 25 years?</t>
        </is>
      </c>
    </row>
    <row r="32">
      <c r="A32" s="18" t="n">
        <v>18</v>
      </c>
      <c r="B32" s="22">
        <f>E31</f>
        <v/>
      </c>
      <c r="C32" s="22">
        <f>B32*$B$6</f>
        <v/>
      </c>
      <c r="D32" s="22">
        <f>MIN($B$7,B32+C32)</f>
        <v/>
      </c>
      <c r="E32" s="22">
        <f>B32+C32-D32</f>
        <v/>
      </c>
    </row>
    <row r="33">
      <c r="A33" s="18" t="n">
        <v>19</v>
      </c>
      <c r="B33" s="22">
        <f>E32</f>
        <v/>
      </c>
      <c r="C33" s="22">
        <f>B33*$B$6</f>
        <v/>
      </c>
      <c r="D33" s="22">
        <f>MIN($B$7,B33+C33)</f>
        <v/>
      </c>
      <c r="E33" s="22">
        <f>B33+C33-D33</f>
        <v/>
      </c>
      <c r="G33" s="15" t="inlineStr">
        <is>
          <t>M = 650000 ÷ 14.0939 = $46,119.10 per year.</t>
        </is>
      </c>
      <c r="H33" s="16" t="n"/>
      <c r="I33" s="16" t="n"/>
      <c r="J33" s="16" t="n"/>
      <c r="K33" s="16" t="n"/>
      <c r="L33" s="16" t="n"/>
      <c r="M33" s="16" t="n"/>
      <c r="N33" s="17" t="n"/>
    </row>
    <row r="34">
      <c r="A34" s="18" t="n">
        <v>20</v>
      </c>
      <c r="B34" s="22">
        <f>E33</f>
        <v/>
      </c>
      <c r="C34" s="22">
        <f>B34*$B$6</f>
        <v/>
      </c>
      <c r="D34" s="22">
        <f>MIN($B$7,B34+C34)</f>
        <v/>
      </c>
      <c r="E34" s="22">
        <f>B34+C34-D34</f>
        <v/>
      </c>
      <c r="G34" s="20" t="n"/>
      <c r="N34" s="21" t="n"/>
    </row>
    <row r="35">
      <c r="A35" s="18" t="n">
        <v>21</v>
      </c>
      <c r="B35" s="22">
        <f>E34</f>
        <v/>
      </c>
      <c r="C35" s="22">
        <f>B35*$B$6</f>
        <v/>
      </c>
      <c r="D35" s="22">
        <f>MIN($B$7,B35+C35)</f>
        <v/>
      </c>
      <c r="E35" s="22">
        <f>B35+C35-D35</f>
        <v/>
      </c>
      <c r="G35" s="23" t="n"/>
      <c r="H35" s="24" t="n"/>
      <c r="I35" s="24" t="n"/>
      <c r="J35" s="24" t="n"/>
      <c r="K35" s="24" t="n"/>
      <c r="L35" s="24" t="n"/>
      <c r="M35" s="24" t="n"/>
      <c r="N35" s="25" t="n"/>
    </row>
    <row r="36">
      <c r="A36" s="18" t="n">
        <v>22</v>
      </c>
      <c r="B36" s="22">
        <f>E35</f>
        <v/>
      </c>
      <c r="C36" s="22">
        <f>B36*$B$6</f>
        <v/>
      </c>
      <c r="D36" s="22">
        <f>MIN($B$7,B36+C36)</f>
        <v/>
      </c>
      <c r="E36" s="22">
        <f>B36+C36-D36</f>
        <v/>
      </c>
    </row>
    <row r="37">
      <c r="A37" s="18" t="n">
        <v>23</v>
      </c>
      <c r="B37" s="22">
        <f>E36</f>
        <v/>
      </c>
      <c r="C37" s="22">
        <f>B37*$B$6</f>
        <v/>
      </c>
      <c r="D37" s="22">
        <f>MIN($B$7,B37+C37)</f>
        <v/>
      </c>
      <c r="E37" s="22">
        <f>B37+C37-D37</f>
        <v/>
      </c>
    </row>
    <row r="38">
      <c r="A38" s="18" t="n">
        <v>24</v>
      </c>
      <c r="B38" s="22">
        <f>E37</f>
        <v/>
      </c>
      <c r="C38" s="22">
        <f>B38*$B$6</f>
        <v/>
      </c>
      <c r="D38" s="22">
        <f>MIN($B$7,B38+C38)</f>
        <v/>
      </c>
      <c r="E38" s="22">
        <f>B38+C38-D38</f>
        <v/>
      </c>
    </row>
    <row r="39">
      <c r="A39" s="18" t="n">
        <v>25</v>
      </c>
      <c r="B39" s="22">
        <f>E38</f>
        <v/>
      </c>
      <c r="C39" s="22">
        <f>B39*$B$6</f>
        <v/>
      </c>
      <c r="D39" s="22">
        <f>MIN($B$7,B39+C39)</f>
        <v/>
      </c>
      <c r="E39" s="22">
        <f>B39+C39-D39</f>
        <v/>
      </c>
    </row>
    <row r="40">
      <c r="A40" s="18" t="n">
        <v>26</v>
      </c>
      <c r="B40" s="22">
        <f>E39</f>
        <v/>
      </c>
      <c r="C40" s="22">
        <f>B40*$B$6</f>
        <v/>
      </c>
      <c r="D40" s="22">
        <f>MIN($B$7,B40+C40)</f>
        <v/>
      </c>
      <c r="E40" s="22">
        <f>B40+C40-D40</f>
        <v/>
      </c>
    </row>
    <row r="41">
      <c r="A41" s="18" t="n">
        <v>27</v>
      </c>
      <c r="B41" s="22">
        <f>E40</f>
        <v/>
      </c>
      <c r="C41" s="22">
        <f>B41*$B$6</f>
        <v/>
      </c>
      <c r="D41" s="22">
        <f>MIN($B$7,B41+C41)</f>
        <v/>
      </c>
      <c r="E41" s="22">
        <f>B41+C41-D41</f>
        <v/>
      </c>
    </row>
    <row r="42">
      <c r="A42" s="18" t="n">
        <v>28</v>
      </c>
      <c r="B42" s="22">
        <f>E41</f>
        <v/>
      </c>
      <c r="C42" s="22">
        <f>B42*$B$6</f>
        <v/>
      </c>
      <c r="D42" s="22">
        <f>MIN($B$7,B42+C42)</f>
        <v/>
      </c>
      <c r="E42" s="22">
        <f>B42+C42-D42</f>
        <v/>
      </c>
    </row>
    <row r="43">
      <c r="A43" s="18" t="n">
        <v>29</v>
      </c>
      <c r="B43" s="22">
        <f>E42</f>
        <v/>
      </c>
      <c r="C43" s="22">
        <f>B43*$B$6</f>
        <v/>
      </c>
      <c r="D43" s="22">
        <f>MIN($B$7,B43+C43)</f>
        <v/>
      </c>
      <c r="E43" s="22">
        <f>B43+C43-D43</f>
        <v/>
      </c>
    </row>
    <row r="44">
      <c r="A44" s="18" t="n">
        <v>30</v>
      </c>
      <c r="B44" s="22">
        <f>E43</f>
        <v/>
      </c>
      <c r="C44" s="22">
        <f>B44*$B$6</f>
        <v/>
      </c>
      <c r="D44" s="22">
        <f>MIN($B$7,B44+C44)</f>
        <v/>
      </c>
      <c r="E44" s="22">
        <f>B44+C44-D44</f>
        <v/>
      </c>
    </row>
  </sheetData>
  <mergeCells count="14">
    <mergeCell ref="G21:N23"/>
    <mergeCell ref="G8:N9"/>
    <mergeCell ref="G20:N20"/>
    <mergeCell ref="G16:N18"/>
    <mergeCell ref="A2:N2"/>
    <mergeCell ref="G11:N11"/>
    <mergeCell ref="G5:N7"/>
    <mergeCell ref="G31:N32"/>
    <mergeCell ref="G25:N26"/>
    <mergeCell ref="G33:N35"/>
    <mergeCell ref="G10:N10"/>
    <mergeCell ref="G27:N29"/>
    <mergeCell ref="G14:N15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5   Repaying a car loan</t>
        </is>
      </c>
    </row>
    <row r="2" ht="30" customHeight="1">
      <c r="A2" s="2" t="inlineStr">
        <is>
          <t>Jordan borrows $28,000 to buy a car at 8.4% p.a., with monthly repayments over 4 years.</t>
        </is>
      </c>
    </row>
    <row r="4">
      <c r="A4" s="4" t="inlineStr">
        <is>
          <t>Given information</t>
        </is>
      </c>
      <c r="G4" s="4" t="inlineStr">
        <is>
          <t>What to do</t>
        </is>
      </c>
    </row>
    <row r="5">
      <c r="A5" s="6" t="inlineStr">
        <is>
          <t>Amount borrowed ($)</t>
        </is>
      </c>
      <c r="B5" s="7" t="n">
        <v>28000</v>
      </c>
      <c r="G5" s="9" t="inlineStr">
        <is>
          <t>1. In B11 to B17, use formulas to find the monthly rate, number of repayments, PV interest factor, repayment (two ways), total repaid and total interest.</t>
        </is>
      </c>
    </row>
    <row r="6">
      <c r="A6" s="6" t="inlineStr">
        <is>
          <t>Interest rate per year</t>
        </is>
      </c>
      <c r="B6" s="10" t="n">
        <v>0.08400000000000001</v>
      </c>
    </row>
    <row r="7">
      <c r="A7" s="6" t="inlineStr">
        <is>
          <t>Term (years)</t>
        </is>
      </c>
      <c r="B7" s="11" t="n">
        <v>4</v>
      </c>
      <c r="G7" s="9" t="inlineStr">
        <is>
          <t>2. Month 1 is done for you. Write the formulas for month 2 in row 22, then fill them down to month 48.</t>
        </is>
      </c>
    </row>
    <row r="8">
      <c r="A8" s="6" t="inlineStr">
        <is>
          <t>Repayments per year</t>
        </is>
      </c>
      <c r="B8" s="11" t="n">
        <v>12</v>
      </c>
    </row>
    <row r="9">
      <c r="G9" s="9" t="inlineStr">
        <is>
          <t>3. The closing balance after month 48 should be $0.00. (−$0.00 is fine: it is a tiny rounding difference inside the computer.) If it is not zero, check your repayment and interest formulas.</t>
        </is>
      </c>
    </row>
    <row r="10">
      <c r="A10" s="4" t="inlineStr">
        <is>
          <t>Your calculations</t>
        </is>
      </c>
    </row>
    <row r="11">
      <c r="A11" s="6" t="inlineStr">
        <is>
          <t>Interest rate per month, r</t>
        </is>
      </c>
      <c r="B11" s="12">
        <f>$B$6/$B$8</f>
        <v/>
      </c>
    </row>
    <row r="12">
      <c r="A12" s="6" t="inlineStr">
        <is>
          <t>Number of repayments, n</t>
        </is>
      </c>
      <c r="B12" s="14">
        <f>$B$7*$B$8</f>
        <v/>
      </c>
      <c r="G12" s="13" t="inlineStr">
        <is>
          <t>Check: the monthly repayment should be $688.83.</t>
        </is>
      </c>
    </row>
    <row r="13">
      <c r="A13" s="6" t="inlineStr">
        <is>
          <t>Present value interest factor</t>
        </is>
      </c>
      <c r="B13" s="28">
        <f>(1-(1+B11)^-B12)/B11</f>
        <v/>
      </c>
    </row>
    <row r="14">
      <c r="A14" s="6" t="inlineStr">
        <is>
          <t>Monthly repayment = amount ÷ factor ($)</t>
        </is>
      </c>
      <c r="B14" s="22">
        <f>$B$5/B13</f>
        <v/>
      </c>
      <c r="G14" s="4" t="inlineStr">
        <is>
          <t>Questions – worked answers</t>
        </is>
      </c>
    </row>
    <row r="15">
      <c r="A15" s="6" t="inlineStr">
        <is>
          <t>Monthly repayment using PMT ($)</t>
        </is>
      </c>
      <c r="B15" s="22">
        <f>PMT(B11,B12,-$B$5)</f>
        <v/>
      </c>
      <c r="G15" s="13" t="inlineStr">
        <is>
          <t>Q1.  What is the monthly repayment?</t>
        </is>
      </c>
    </row>
    <row r="16">
      <c r="A16" s="6" t="inlineStr">
        <is>
          <t>Total repaid ($)</t>
        </is>
      </c>
      <c r="B16" s="22">
        <f>B14*B12</f>
        <v/>
      </c>
      <c r="G16" s="15" t="inlineStr">
        <is>
          <t>$688.83 (PV factor 40.6486; PMT gives the same).</t>
        </is>
      </c>
      <c r="H16" s="16" t="n"/>
      <c r="I16" s="16" t="n"/>
      <c r="J16" s="16" t="n"/>
      <c r="K16" s="16" t="n"/>
      <c r="L16" s="16" t="n"/>
      <c r="M16" s="16" t="n"/>
      <c r="N16" s="17" t="n"/>
    </row>
    <row r="17">
      <c r="A17" s="6" t="inlineStr">
        <is>
          <t>Total interest ($)</t>
        </is>
      </c>
      <c r="B17" s="22">
        <f>B16-$B$5</f>
        <v/>
      </c>
      <c r="G17" s="20" t="n"/>
      <c r="N17" s="21" t="n"/>
    </row>
    <row r="18">
      <c r="G18" s="23" t="n"/>
      <c r="H18" s="24" t="n"/>
      <c r="I18" s="24" t="n"/>
      <c r="J18" s="24" t="n"/>
      <c r="K18" s="24" t="n"/>
      <c r="L18" s="24" t="n"/>
      <c r="M18" s="24" t="n"/>
      <c r="N18" s="25" t="n"/>
    </row>
    <row r="19">
      <c r="A19" s="4" t="inlineStr">
        <is>
          <t>Your table</t>
        </is>
      </c>
    </row>
    <row r="20" ht="31.5" customHeight="1">
      <c r="A20" s="8" t="inlineStr">
        <is>
          <t>Month</t>
        </is>
      </c>
      <c r="B20" s="8" t="inlineStr">
        <is>
          <t>Opening balance ($)</t>
        </is>
      </c>
      <c r="C20" s="8" t="inlineStr">
        <is>
          <t>Interest charged ($)</t>
        </is>
      </c>
      <c r="D20" s="8" t="inlineStr">
        <is>
          <t>Repayment ($)</t>
        </is>
      </c>
      <c r="E20" s="8" t="inlineStr">
        <is>
          <t>Closing balance ($)</t>
        </is>
      </c>
      <c r="G20" s="13" t="inlineStr">
        <is>
          <t>Q2.  How much interest does Jordan pay altogether?</t>
        </is>
      </c>
    </row>
    <row r="21">
      <c r="A21" s="18" t="n">
        <v>1</v>
      </c>
      <c r="B21" s="19">
        <f>$B$5</f>
        <v/>
      </c>
      <c r="C21" s="19">
        <f>B21*$B$11</f>
        <v/>
      </c>
      <c r="D21" s="19">
        <f>$B$14</f>
        <v/>
      </c>
      <c r="E21" s="19">
        <f>B21+C21-D21</f>
        <v/>
      </c>
      <c r="G21" s="15" t="inlineStr">
        <is>
          <t>$33,063.90 − $28,000 = $5,063.90.</t>
        </is>
      </c>
      <c r="H21" s="16" t="n"/>
      <c r="I21" s="16" t="n"/>
      <c r="J21" s="16" t="n"/>
      <c r="K21" s="16" t="n"/>
      <c r="L21" s="16" t="n"/>
      <c r="M21" s="16" t="n"/>
      <c r="N21" s="17" t="n"/>
    </row>
    <row r="22">
      <c r="A22" s="18" t="n">
        <v>2</v>
      </c>
      <c r="B22" s="22">
        <f>E21</f>
        <v/>
      </c>
      <c r="C22" s="22">
        <f>B22*$B$11</f>
        <v/>
      </c>
      <c r="D22" s="22">
        <f>$B$14</f>
        <v/>
      </c>
      <c r="E22" s="22">
        <f>B22+C22-D22</f>
        <v/>
      </c>
      <c r="G22" s="20" t="n"/>
      <c r="N22" s="21" t="n"/>
    </row>
    <row r="23">
      <c r="A23" s="18" t="n">
        <v>3</v>
      </c>
      <c r="B23" s="22">
        <f>E22</f>
        <v/>
      </c>
      <c r="C23" s="22">
        <f>B23*$B$11</f>
        <v/>
      </c>
      <c r="D23" s="22">
        <f>$B$14</f>
        <v/>
      </c>
      <c r="E23" s="22">
        <f>B23+C23-D23</f>
        <v/>
      </c>
      <c r="G23" s="23" t="n"/>
      <c r="H23" s="24" t="n"/>
      <c r="I23" s="24" t="n"/>
      <c r="J23" s="24" t="n"/>
      <c r="K23" s="24" t="n"/>
      <c r="L23" s="24" t="n"/>
      <c r="M23" s="24" t="n"/>
      <c r="N23" s="25" t="n"/>
    </row>
    <row r="24">
      <c r="A24" s="18" t="n">
        <v>4</v>
      </c>
      <c r="B24" s="22">
        <f>E23</f>
        <v/>
      </c>
      <c r="C24" s="22">
        <f>B24*$B$11</f>
        <v/>
      </c>
      <c r="D24" s="22">
        <f>$B$14</f>
        <v/>
      </c>
      <c r="E24" s="22">
        <f>B24+C24-D24</f>
        <v/>
      </c>
    </row>
    <row r="25">
      <c r="A25" s="18" t="n">
        <v>5</v>
      </c>
      <c r="B25" s="22">
        <f>E24</f>
        <v/>
      </c>
      <c r="C25" s="22">
        <f>B25*$B$11</f>
        <v/>
      </c>
      <c r="D25" s="22">
        <f>$B$14</f>
        <v/>
      </c>
      <c r="E25" s="22">
        <f>B25+C25-D25</f>
        <v/>
      </c>
      <c r="G25" s="13" t="inlineStr">
        <is>
          <t>Q3.  How much does Jordan still owe after 2 years (24 repayments)? Is it half the loan? Explain.</t>
        </is>
      </c>
    </row>
    <row r="26">
      <c r="A26" s="18" t="n">
        <v>6</v>
      </c>
      <c r="B26" s="22">
        <f>E25</f>
        <v/>
      </c>
      <c r="C26" s="22">
        <f>B26*$B$11</f>
        <v/>
      </c>
      <c r="D26" s="22">
        <f>$B$14</f>
        <v/>
      </c>
      <c r="E26" s="22">
        <f>B26+C26-D26</f>
        <v/>
      </c>
    </row>
    <row r="27">
      <c r="A27" s="18" t="n">
        <v>7</v>
      </c>
      <c r="B27" s="22">
        <f>E26</f>
        <v/>
      </c>
      <c r="C27" s="22">
        <f>B27*$B$11</f>
        <v/>
      </c>
      <c r="D27" s="22">
        <f>$B$14</f>
        <v/>
      </c>
      <c r="E27" s="22">
        <f>B27+C27-D27</f>
        <v/>
      </c>
      <c r="G27" s="15" t="inlineStr">
        <is>
          <t>$15,169.17. That is more than half of $28,000, because early repayments are mostly interest, so the balance falls slowly at first.</t>
        </is>
      </c>
      <c r="H27" s="16" t="n"/>
      <c r="I27" s="16" t="n"/>
      <c r="J27" s="16" t="n"/>
      <c r="K27" s="16" t="n"/>
      <c r="L27" s="16" t="n"/>
      <c r="M27" s="16" t="n"/>
      <c r="N27" s="17" t="n"/>
    </row>
    <row r="28">
      <c r="A28" s="18" t="n">
        <v>8</v>
      </c>
      <c r="B28" s="22">
        <f>E27</f>
        <v/>
      </c>
      <c r="C28" s="22">
        <f>B28*$B$11</f>
        <v/>
      </c>
      <c r="D28" s="22">
        <f>$B$14</f>
        <v/>
      </c>
      <c r="E28" s="22">
        <f>B28+C28-D28</f>
        <v/>
      </c>
      <c r="G28" s="20" t="n"/>
      <c r="N28" s="21" t="n"/>
    </row>
    <row r="29">
      <c r="A29" s="18" t="n">
        <v>9</v>
      </c>
      <c r="B29" s="22">
        <f>E28</f>
        <v/>
      </c>
      <c r="C29" s="22">
        <f>B29*$B$11</f>
        <v/>
      </c>
      <c r="D29" s="22">
        <f>$B$14</f>
        <v/>
      </c>
      <c r="E29" s="22">
        <f>B29+C29-D29</f>
        <v/>
      </c>
      <c r="G29" s="23" t="n"/>
      <c r="H29" s="24" t="n"/>
      <c r="I29" s="24" t="n"/>
      <c r="J29" s="24" t="n"/>
      <c r="K29" s="24" t="n"/>
      <c r="L29" s="24" t="n"/>
      <c r="M29" s="24" t="n"/>
      <c r="N29" s="25" t="n"/>
    </row>
    <row r="30">
      <c r="A30" s="18" t="n">
        <v>10</v>
      </c>
      <c r="B30" s="22">
        <f>E29</f>
        <v/>
      </c>
      <c r="C30" s="22">
        <f>B30*$B$11</f>
        <v/>
      </c>
      <c r="D30" s="22">
        <f>$B$14</f>
        <v/>
      </c>
      <c r="E30" s="22">
        <f>B30+C30-D30</f>
        <v/>
      </c>
    </row>
    <row r="31">
      <c r="A31" s="18" t="n">
        <v>11</v>
      </c>
      <c r="B31" s="22">
        <f>E30</f>
        <v/>
      </c>
      <c r="C31" s="22">
        <f>B31*$B$11</f>
        <v/>
      </c>
      <c r="D31" s="22">
        <f>$B$14</f>
        <v/>
      </c>
      <c r="E31" s="22">
        <f>B31+C31-D31</f>
        <v/>
      </c>
      <c r="G31" s="13" t="inlineStr">
        <is>
          <t>Q4.  Jordan could choose a 5-year term instead. Find the monthly repayment and total interest. Is the lower repayment worth it?</t>
        </is>
      </c>
    </row>
    <row r="32">
      <c r="A32" s="18" t="n">
        <v>12</v>
      </c>
      <c r="B32" s="22">
        <f>E31</f>
        <v/>
      </c>
      <c r="C32" s="22">
        <f>B32*$B$11</f>
        <v/>
      </c>
      <c r="D32" s="22">
        <f>$B$14</f>
        <v/>
      </c>
      <c r="E32" s="22">
        <f>B32+C32-D32</f>
        <v/>
      </c>
    </row>
    <row r="33">
      <c r="A33" s="18" t="n">
        <v>13</v>
      </c>
      <c r="B33" s="22">
        <f>E32</f>
        <v/>
      </c>
      <c r="C33" s="22">
        <f>B33*$B$11</f>
        <v/>
      </c>
      <c r="D33" s="22">
        <f>$B$14</f>
        <v/>
      </c>
      <c r="E33" s="22">
        <f>B33+C33-D33</f>
        <v/>
      </c>
      <c r="G33" s="15" t="inlineStr">
        <is>
          <t>$573.11 per month, total interest $6,386.86 – $1,322.96 more interest than the 4-year loan. The repayment is $115.72 a month lower, so it suits a tight budget, but it costs more overall.</t>
        </is>
      </c>
      <c r="H33" s="16" t="n"/>
      <c r="I33" s="16" t="n"/>
      <c r="J33" s="16" t="n"/>
      <c r="K33" s="16" t="n"/>
      <c r="L33" s="16" t="n"/>
      <c r="M33" s="16" t="n"/>
      <c r="N33" s="17" t="n"/>
    </row>
    <row r="34">
      <c r="A34" s="18" t="n">
        <v>14</v>
      </c>
      <c r="B34" s="22">
        <f>E33</f>
        <v/>
      </c>
      <c r="C34" s="22">
        <f>B34*$B$11</f>
        <v/>
      </c>
      <c r="D34" s="22">
        <f>$B$14</f>
        <v/>
      </c>
      <c r="E34" s="22">
        <f>B34+C34-D34</f>
        <v/>
      </c>
      <c r="G34" s="20" t="n"/>
      <c r="N34" s="21" t="n"/>
    </row>
    <row r="35">
      <c r="A35" s="18" t="n">
        <v>15</v>
      </c>
      <c r="B35" s="22">
        <f>E34</f>
        <v/>
      </c>
      <c r="C35" s="22">
        <f>B35*$B$11</f>
        <v/>
      </c>
      <c r="D35" s="22">
        <f>$B$14</f>
        <v/>
      </c>
      <c r="E35" s="22">
        <f>B35+C35-D35</f>
        <v/>
      </c>
      <c r="G35" s="23" t="n"/>
      <c r="H35" s="24" t="n"/>
      <c r="I35" s="24" t="n"/>
      <c r="J35" s="24" t="n"/>
      <c r="K35" s="24" t="n"/>
      <c r="L35" s="24" t="n"/>
      <c r="M35" s="24" t="n"/>
      <c r="N35" s="25" t="n"/>
    </row>
    <row r="36">
      <c r="A36" s="18" t="n">
        <v>16</v>
      </c>
      <c r="B36" s="22">
        <f>E35</f>
        <v/>
      </c>
      <c r="C36" s="22">
        <f>B36*$B$11</f>
        <v/>
      </c>
      <c r="D36" s="22">
        <f>$B$14</f>
        <v/>
      </c>
      <c r="E36" s="22">
        <f>B36+C36-D36</f>
        <v/>
      </c>
    </row>
    <row r="37">
      <c r="A37" s="18" t="n">
        <v>17</v>
      </c>
      <c r="B37" s="22">
        <f>E36</f>
        <v/>
      </c>
      <c r="C37" s="22">
        <f>B37*$B$11</f>
        <v/>
      </c>
      <c r="D37" s="22">
        <f>$B$14</f>
        <v/>
      </c>
      <c r="E37" s="22">
        <f>B37+C37-D37</f>
        <v/>
      </c>
    </row>
    <row r="38">
      <c r="A38" s="18" t="n">
        <v>18</v>
      </c>
      <c r="B38" s="22">
        <f>E37</f>
        <v/>
      </c>
      <c r="C38" s="22">
        <f>B38*$B$11</f>
        <v/>
      </c>
      <c r="D38" s="22">
        <f>$B$14</f>
        <v/>
      </c>
      <c r="E38" s="22">
        <f>B38+C38-D38</f>
        <v/>
      </c>
    </row>
    <row r="39">
      <c r="A39" s="18" t="n">
        <v>19</v>
      </c>
      <c r="B39" s="22">
        <f>E38</f>
        <v/>
      </c>
      <c r="C39" s="22">
        <f>B39*$B$11</f>
        <v/>
      </c>
      <c r="D39" s="22">
        <f>$B$14</f>
        <v/>
      </c>
      <c r="E39" s="22">
        <f>B39+C39-D39</f>
        <v/>
      </c>
    </row>
    <row r="40">
      <c r="A40" s="18" t="n">
        <v>20</v>
      </c>
      <c r="B40" s="22">
        <f>E39</f>
        <v/>
      </c>
      <c r="C40" s="22">
        <f>B40*$B$11</f>
        <v/>
      </c>
      <c r="D40" s="22">
        <f>$B$14</f>
        <v/>
      </c>
      <c r="E40" s="22">
        <f>B40+C40-D40</f>
        <v/>
      </c>
    </row>
    <row r="41">
      <c r="A41" s="18" t="n">
        <v>21</v>
      </c>
      <c r="B41" s="22">
        <f>E40</f>
        <v/>
      </c>
      <c r="C41" s="22">
        <f>B41*$B$11</f>
        <v/>
      </c>
      <c r="D41" s="22">
        <f>$B$14</f>
        <v/>
      </c>
      <c r="E41" s="22">
        <f>B41+C41-D41</f>
        <v/>
      </c>
    </row>
    <row r="42">
      <c r="A42" s="18" t="n">
        <v>22</v>
      </c>
      <c r="B42" s="22">
        <f>E41</f>
        <v/>
      </c>
      <c r="C42" s="22">
        <f>B42*$B$11</f>
        <v/>
      </c>
      <c r="D42" s="22">
        <f>$B$14</f>
        <v/>
      </c>
      <c r="E42" s="22">
        <f>B42+C42-D42</f>
        <v/>
      </c>
    </row>
    <row r="43">
      <c r="A43" s="18" t="n">
        <v>23</v>
      </c>
      <c r="B43" s="22">
        <f>E42</f>
        <v/>
      </c>
      <c r="C43" s="22">
        <f>B43*$B$11</f>
        <v/>
      </c>
      <c r="D43" s="22">
        <f>$B$14</f>
        <v/>
      </c>
      <c r="E43" s="22">
        <f>B43+C43-D43</f>
        <v/>
      </c>
    </row>
    <row r="44">
      <c r="A44" s="18" t="n">
        <v>24</v>
      </c>
      <c r="B44" s="22">
        <f>E43</f>
        <v/>
      </c>
      <c r="C44" s="22">
        <f>B44*$B$11</f>
        <v/>
      </c>
      <c r="D44" s="22">
        <f>$B$14</f>
        <v/>
      </c>
      <c r="E44" s="22">
        <f>B44+C44-D44</f>
        <v/>
      </c>
    </row>
    <row r="45">
      <c r="A45" s="18" t="n">
        <v>25</v>
      </c>
      <c r="B45" s="22">
        <f>E44</f>
        <v/>
      </c>
      <c r="C45" s="22">
        <f>B45*$B$11</f>
        <v/>
      </c>
      <c r="D45" s="22">
        <f>$B$14</f>
        <v/>
      </c>
      <c r="E45" s="22">
        <f>B45+C45-D45</f>
        <v/>
      </c>
    </row>
    <row r="46">
      <c r="A46" s="18" t="n">
        <v>26</v>
      </c>
      <c r="B46" s="22">
        <f>E45</f>
        <v/>
      </c>
      <c r="C46" s="22">
        <f>B46*$B$11</f>
        <v/>
      </c>
      <c r="D46" s="22">
        <f>$B$14</f>
        <v/>
      </c>
      <c r="E46" s="22">
        <f>B46+C46-D46</f>
        <v/>
      </c>
    </row>
    <row r="47">
      <c r="A47" s="18" t="n">
        <v>27</v>
      </c>
      <c r="B47" s="22">
        <f>E46</f>
        <v/>
      </c>
      <c r="C47" s="22">
        <f>B47*$B$11</f>
        <v/>
      </c>
      <c r="D47" s="22">
        <f>$B$14</f>
        <v/>
      </c>
      <c r="E47" s="22">
        <f>B47+C47-D47</f>
        <v/>
      </c>
    </row>
    <row r="48">
      <c r="A48" s="18" t="n">
        <v>28</v>
      </c>
      <c r="B48" s="22">
        <f>E47</f>
        <v/>
      </c>
      <c r="C48" s="22">
        <f>B48*$B$11</f>
        <v/>
      </c>
      <c r="D48" s="22">
        <f>$B$14</f>
        <v/>
      </c>
      <c r="E48" s="22">
        <f>B48+C48-D48</f>
        <v/>
      </c>
    </row>
    <row r="49">
      <c r="A49" s="18" t="n">
        <v>29</v>
      </c>
      <c r="B49" s="22">
        <f>E48</f>
        <v/>
      </c>
      <c r="C49" s="22">
        <f>B49*$B$11</f>
        <v/>
      </c>
      <c r="D49" s="22">
        <f>$B$14</f>
        <v/>
      </c>
      <c r="E49" s="22">
        <f>B49+C49-D49</f>
        <v/>
      </c>
    </row>
    <row r="50">
      <c r="A50" s="18" t="n">
        <v>30</v>
      </c>
      <c r="B50" s="22">
        <f>E49</f>
        <v/>
      </c>
      <c r="C50" s="22">
        <f>B50*$B$11</f>
        <v/>
      </c>
      <c r="D50" s="22">
        <f>$B$14</f>
        <v/>
      </c>
      <c r="E50" s="22">
        <f>B50+C50-D50</f>
        <v/>
      </c>
    </row>
    <row r="51">
      <c r="A51" s="18" t="n">
        <v>31</v>
      </c>
      <c r="B51" s="22">
        <f>E50</f>
        <v/>
      </c>
      <c r="C51" s="22">
        <f>B51*$B$11</f>
        <v/>
      </c>
      <c r="D51" s="22">
        <f>$B$14</f>
        <v/>
      </c>
      <c r="E51" s="22">
        <f>B51+C51-D51</f>
        <v/>
      </c>
    </row>
    <row r="52">
      <c r="A52" s="18" t="n">
        <v>32</v>
      </c>
      <c r="B52" s="22">
        <f>E51</f>
        <v/>
      </c>
      <c r="C52" s="22">
        <f>B52*$B$11</f>
        <v/>
      </c>
      <c r="D52" s="22">
        <f>$B$14</f>
        <v/>
      </c>
      <c r="E52" s="22">
        <f>B52+C52-D52</f>
        <v/>
      </c>
    </row>
    <row r="53">
      <c r="A53" s="18" t="n">
        <v>33</v>
      </c>
      <c r="B53" s="22">
        <f>E52</f>
        <v/>
      </c>
      <c r="C53" s="22">
        <f>B53*$B$11</f>
        <v/>
      </c>
      <c r="D53" s="22">
        <f>$B$14</f>
        <v/>
      </c>
      <c r="E53" s="22">
        <f>B53+C53-D53</f>
        <v/>
      </c>
    </row>
    <row r="54">
      <c r="A54" s="18" t="n">
        <v>34</v>
      </c>
      <c r="B54" s="22">
        <f>E53</f>
        <v/>
      </c>
      <c r="C54" s="22">
        <f>B54*$B$11</f>
        <v/>
      </c>
      <c r="D54" s="22">
        <f>$B$14</f>
        <v/>
      </c>
      <c r="E54" s="22">
        <f>B54+C54-D54</f>
        <v/>
      </c>
    </row>
    <row r="55">
      <c r="A55" s="18" t="n">
        <v>35</v>
      </c>
      <c r="B55" s="22">
        <f>E54</f>
        <v/>
      </c>
      <c r="C55" s="22">
        <f>B55*$B$11</f>
        <v/>
      </c>
      <c r="D55" s="22">
        <f>$B$14</f>
        <v/>
      </c>
      <c r="E55" s="22">
        <f>B55+C55-D55</f>
        <v/>
      </c>
    </row>
    <row r="56">
      <c r="A56" s="18" t="n">
        <v>36</v>
      </c>
      <c r="B56" s="22">
        <f>E55</f>
        <v/>
      </c>
      <c r="C56" s="22">
        <f>B56*$B$11</f>
        <v/>
      </c>
      <c r="D56" s="22">
        <f>$B$14</f>
        <v/>
      </c>
      <c r="E56" s="22">
        <f>B56+C56-D56</f>
        <v/>
      </c>
    </row>
    <row r="57">
      <c r="A57" s="18" t="n">
        <v>37</v>
      </c>
      <c r="B57" s="22">
        <f>E56</f>
        <v/>
      </c>
      <c r="C57" s="22">
        <f>B57*$B$11</f>
        <v/>
      </c>
      <c r="D57" s="22">
        <f>$B$14</f>
        <v/>
      </c>
      <c r="E57" s="22">
        <f>B57+C57-D57</f>
        <v/>
      </c>
    </row>
    <row r="58">
      <c r="A58" s="18" t="n">
        <v>38</v>
      </c>
      <c r="B58" s="22">
        <f>E57</f>
        <v/>
      </c>
      <c r="C58" s="22">
        <f>B58*$B$11</f>
        <v/>
      </c>
      <c r="D58" s="22">
        <f>$B$14</f>
        <v/>
      </c>
      <c r="E58" s="22">
        <f>B58+C58-D58</f>
        <v/>
      </c>
    </row>
    <row r="59">
      <c r="A59" s="18" t="n">
        <v>39</v>
      </c>
      <c r="B59" s="22">
        <f>E58</f>
        <v/>
      </c>
      <c r="C59" s="22">
        <f>B59*$B$11</f>
        <v/>
      </c>
      <c r="D59" s="22">
        <f>$B$14</f>
        <v/>
      </c>
      <c r="E59" s="22">
        <f>B59+C59-D59</f>
        <v/>
      </c>
    </row>
    <row r="60">
      <c r="A60" s="18" t="n">
        <v>40</v>
      </c>
      <c r="B60" s="22">
        <f>E59</f>
        <v/>
      </c>
      <c r="C60" s="22">
        <f>B60*$B$11</f>
        <v/>
      </c>
      <c r="D60" s="22">
        <f>$B$14</f>
        <v/>
      </c>
      <c r="E60" s="22">
        <f>B60+C60-D60</f>
        <v/>
      </c>
    </row>
    <row r="61">
      <c r="A61" s="18" t="n">
        <v>41</v>
      </c>
      <c r="B61" s="22">
        <f>E60</f>
        <v/>
      </c>
      <c r="C61" s="22">
        <f>B61*$B$11</f>
        <v/>
      </c>
      <c r="D61" s="22">
        <f>$B$14</f>
        <v/>
      </c>
      <c r="E61" s="22">
        <f>B61+C61-D61</f>
        <v/>
      </c>
    </row>
    <row r="62">
      <c r="A62" s="18" t="n">
        <v>42</v>
      </c>
      <c r="B62" s="22">
        <f>E61</f>
        <v/>
      </c>
      <c r="C62" s="22">
        <f>B62*$B$11</f>
        <v/>
      </c>
      <c r="D62" s="22">
        <f>$B$14</f>
        <v/>
      </c>
      <c r="E62" s="22">
        <f>B62+C62-D62</f>
        <v/>
      </c>
    </row>
    <row r="63">
      <c r="A63" s="18" t="n">
        <v>43</v>
      </c>
      <c r="B63" s="22">
        <f>E62</f>
        <v/>
      </c>
      <c r="C63" s="22">
        <f>B63*$B$11</f>
        <v/>
      </c>
      <c r="D63" s="22">
        <f>$B$14</f>
        <v/>
      </c>
      <c r="E63" s="22">
        <f>B63+C63-D63</f>
        <v/>
      </c>
    </row>
    <row r="64">
      <c r="A64" s="18" t="n">
        <v>44</v>
      </c>
      <c r="B64" s="22">
        <f>E63</f>
        <v/>
      </c>
      <c r="C64" s="22">
        <f>B64*$B$11</f>
        <v/>
      </c>
      <c r="D64" s="22">
        <f>$B$14</f>
        <v/>
      </c>
      <c r="E64" s="22">
        <f>B64+C64-D64</f>
        <v/>
      </c>
    </row>
    <row r="65">
      <c r="A65" s="18" t="n">
        <v>45</v>
      </c>
      <c r="B65" s="22">
        <f>E64</f>
        <v/>
      </c>
      <c r="C65" s="22">
        <f>B65*$B$11</f>
        <v/>
      </c>
      <c r="D65" s="22">
        <f>$B$14</f>
        <v/>
      </c>
      <c r="E65" s="22">
        <f>B65+C65-D65</f>
        <v/>
      </c>
    </row>
    <row r="66">
      <c r="A66" s="18" t="n">
        <v>46</v>
      </c>
      <c r="B66" s="22">
        <f>E65</f>
        <v/>
      </c>
      <c r="C66" s="22">
        <f>B66*$B$11</f>
        <v/>
      </c>
      <c r="D66" s="22">
        <f>$B$14</f>
        <v/>
      </c>
      <c r="E66" s="22">
        <f>B66+C66-D66</f>
        <v/>
      </c>
    </row>
    <row r="67">
      <c r="A67" s="18" t="n">
        <v>47</v>
      </c>
      <c r="B67" s="22">
        <f>E66</f>
        <v/>
      </c>
      <c r="C67" s="22">
        <f>B67*$B$11</f>
        <v/>
      </c>
      <c r="D67" s="22">
        <f>$B$14</f>
        <v/>
      </c>
      <c r="E67" s="22">
        <f>B67+C67-D67</f>
        <v/>
      </c>
    </row>
    <row r="68">
      <c r="A68" s="18" t="n">
        <v>48</v>
      </c>
      <c r="B68" s="22">
        <f>E67</f>
        <v/>
      </c>
      <c r="C68" s="22">
        <f>B68*$B$11</f>
        <v/>
      </c>
      <c r="D68" s="22">
        <f>$B$14</f>
        <v/>
      </c>
      <c r="E68" s="22">
        <f>B68+C68-D68</f>
        <v/>
      </c>
    </row>
  </sheetData>
  <mergeCells count="14">
    <mergeCell ref="A1:N1"/>
    <mergeCell ref="G21:N23"/>
    <mergeCell ref="G20:N20"/>
    <mergeCell ref="G12:N12"/>
    <mergeCell ref="G16:N18"/>
    <mergeCell ref="G7:N8"/>
    <mergeCell ref="A2:N2"/>
    <mergeCell ref="G15:N15"/>
    <mergeCell ref="G31:N32"/>
    <mergeCell ref="G25:N26"/>
    <mergeCell ref="G33:N35"/>
    <mergeCell ref="G27:N29"/>
    <mergeCell ref="G5:N6"/>
    <mergeCell ref="G9:N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2026-10-17T21:06:46Z</dcterms:created>
  <dcterms:modified xsi:type="dcterms:W3CDTF">2026-10-17T21:06:46Z</dcterms:modified>
</cp:coreProperties>
</file>