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Annuity table" sheetId="2" state="visible" r:id="rId2"/>
    <sheet name="2 Interest factor tables" sheetId="3" state="visible" r:id="rId3"/>
    <sheet name="3 Contribution needed" sheetId="4" state="visible" r:id="rId4"/>
    <sheet name="4 Varying the annuity" sheetId="5" state="visible" r:id="rId5"/>
    <sheet name="5 Present value" sheetId="6" state="visible" r:id="rId6"/>
    <sheet name="6 Loan repayments" sheetId="7" state="visible" r:id="rId7"/>
    <sheet name="Try it answers" sheetId="8" state="visible" r:id="rId8"/>
  </sheets>
  <definedNames/>
  <calcPr calcId="124519" fullCalcOnLoad="1"/>
</workbook>
</file>

<file path=xl/styles.xml><?xml version="1.0" encoding="utf-8"?>
<styleSheet xmlns="http://schemas.openxmlformats.org/spreadsheetml/2006/main">
  <numFmts count="4">
    <numFmt numFmtId="164" formatCode="\$#,##0.00"/>
    <numFmt numFmtId="165" formatCode="0.0%"/>
    <numFmt numFmtId="166" formatCode="0.0000"/>
    <numFmt numFmtId="167" formatCode="0.000%"/>
  </numFmts>
  <fonts count="9">
    <font>
      <name val="Calibri"/>
      <family val="2"/>
      <color theme="1"/>
      <sz val="11"/>
      <scheme val="minor"/>
    </font>
    <font>
      <name val="Arial"/>
      <b val="1"/>
      <color rgb="00FFFFFF"/>
      <sz val="16"/>
    </font>
    <font>
      <name val="Arial"/>
      <i val="1"/>
      <color rgb="00404040"/>
      <sz val="10"/>
    </font>
    <font>
      <name val="Arial"/>
      <b val="1"/>
      <color rgb="001F4E5F"/>
      <sz val="11"/>
    </font>
    <font>
      <name val="Arial"/>
      <sz val="10"/>
    </font>
    <font>
      <name val="Arial"/>
      <color rgb="000000FF"/>
      <sz val="10"/>
    </font>
    <font>
      <name val="Arial"/>
      <b val="1"/>
      <color rgb="001F4E5F"/>
      <sz val="10"/>
    </font>
    <font>
      <name val="Arial"/>
      <b val="1"/>
      <sz val="10"/>
    </font>
    <font>
      <name val="Arial"/>
      <b val="1"/>
      <color rgb="007F3F00"/>
      <sz val="10"/>
    </font>
  </fonts>
  <fills count="5">
    <fill>
      <patternFill/>
    </fill>
    <fill>
      <patternFill patternType="gray125"/>
    </fill>
    <fill>
      <patternFill patternType="solid">
        <fgColor rgb="001F4E5F"/>
      </patternFill>
    </fill>
    <fill>
      <patternFill patternType="solid">
        <fgColor rgb="00FFF2A8"/>
      </patternFill>
    </fill>
    <fill>
      <patternFill patternType="solid">
        <fgColor rgb="00D9E7EC"/>
      </patternFill>
    </fill>
  </fills>
  <borders count="3">
    <border>
      <left/>
      <right/>
      <top/>
      <bottom/>
      <diagonal/>
    </border>
    <border>
      <left style="thin">
        <color rgb="00A6A6A6"/>
      </left>
      <right style="thin">
        <color rgb="00A6A6A6"/>
      </right>
      <top style="thin">
        <color rgb="00A6A6A6"/>
      </top>
      <bottom style="thin">
        <color rgb="00A6A6A6"/>
      </bottom>
    </border>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pivotButton="0" quotePrefix="0" xfId="0"/>
    <xf numFmtId="0" fontId="4" fillId="0" borderId="0" pivotButton="0" quotePrefix="0" xfId="0"/>
    <xf numFmtId="1" fontId="5" fillId="3" borderId="1" pivotButton="0" quotePrefix="0" xfId="0"/>
    <xf numFmtId="1" fontId="4" fillId="0" borderId="1" pivotButton="0" quotePrefix="0" xfId="0"/>
    <xf numFmtId="0" fontId="6" fillId="4" borderId="1" applyAlignment="1" pivotButton="0" quotePrefix="0" xfId="0">
      <alignment horizontal="center" vertical="center" wrapText="1"/>
    </xf>
    <xf numFmtId="0" fontId="7" fillId="0" borderId="0" pivotButton="0" quotePrefix="0" xfId="0"/>
    <xf numFmtId="164" fontId="5" fillId="3" borderId="1" pivotButton="0" quotePrefix="0" xfId="0"/>
    <xf numFmtId="0" fontId="4" fillId="0" borderId="0" applyAlignment="1" pivotButton="0" quotePrefix="0" xfId="0">
      <alignment vertical="top" wrapText="1"/>
    </xf>
    <xf numFmtId="165" fontId="5" fillId="3" borderId="1" pivotButton="0" quotePrefix="0" xfId="0"/>
    <xf numFmtId="0" fontId="8" fillId="0" borderId="0" applyAlignment="1" pivotButton="0" quotePrefix="0" xfId="0">
      <alignment vertical="top" wrapText="1"/>
    </xf>
    <xf numFmtId="164" fontId="4" fillId="0" borderId="1" pivotButton="0" quotePrefix="0" xfId="0"/>
    <xf numFmtId="9" fontId="5" fillId="3" borderId="1" pivotButton="0" quotePrefix="0" xfId="0"/>
    <xf numFmtId="166" fontId="4" fillId="0" borderId="1" pivotButton="0" quotePrefix="0" xfId="0"/>
    <xf numFmtId="9" fontId="6" fillId="4" borderId="1" applyAlignment="1" pivotButton="0" quotePrefix="0" xfId="0">
      <alignment horizontal="center" vertical="center" wrapText="1"/>
    </xf>
    <xf numFmtId="1" fontId="4" fillId="0" borderId="1" applyAlignment="1" pivotButton="0" quotePrefix="0" xfId="0">
      <alignment horizontal="center"/>
    </xf>
    <xf numFmtId="10" fontId="5" fillId="3" borderId="1" pivotButton="0" quotePrefix="0" xfId="0"/>
    <xf numFmtId="167" fontId="4" fillId="0" borderId="1" pivotButton="0" quotePrefix="0" xfId="0"/>
    <xf numFmtId="0" fontId="4" fillId="0" borderId="0" applyAlignment="1" pivotButton="0" quotePrefix="0" xfId="0">
      <alignment vertical="top"/>
    </xf>
    <xf numFmtId="1" fontId="4" fillId="0" borderId="2"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Growth of the annuity</a:t>
            </a:r>
          </a:p>
        </rich>
      </tx>
    </title>
    <plotArea>
      <lineChart>
        <grouping val="standard"/>
        <ser>
          <idx val="0"/>
          <order val="0"/>
          <tx>
            <strRef>
              <f>'1 Annuity table'!E15</f>
            </strRef>
          </tx>
          <spPr>
            <a:ln w="22225">
              <a:solidFill>
                <a:srgbClr val="4A7EBB"/>
              </a:solidFill>
              <a:prstDash val="solid"/>
            </a:ln>
          </spPr>
          <marker>
            <symbol val="none"/>
            <spPr>
              <a:ln>
                <a:prstDash val="solid"/>
              </a:ln>
            </spPr>
          </marker>
          <cat>
            <numRef>
              <f>'1 Annuity table'!$A$16:$A$35</f>
            </numRef>
          </cat>
          <val>
            <numRef>
              <f>'1 Annuity table'!$E$16:$E$35</f>
            </numRef>
          </val>
          <smooth val="0"/>
        </ser>
        <ser>
          <idx val="1"/>
          <order val="1"/>
          <tx>
            <strRef>
              <f>'1 Annuity table'!F15</f>
            </strRef>
          </tx>
          <spPr>
            <a:ln w="22225">
              <a:solidFill>
                <a:srgbClr val="BE4B48"/>
              </a:solidFill>
              <a:prstDash val="solid"/>
            </a:ln>
          </spPr>
          <marker>
            <symbol val="none"/>
            <spPr>
              <a:ln>
                <a:prstDash val="solid"/>
              </a:ln>
            </spPr>
          </marker>
          <cat>
            <numRef>
              <f>'1 Annuity table'!$A$16:$A$35</f>
            </numRef>
          </cat>
          <val>
            <numRef>
              <f>'1 Annuity table'!$F$16:$F$35</f>
            </numRef>
          </val>
          <smooth val="0"/>
        </ser>
        <axId val="10"/>
        <axId val="100"/>
      </lineChart>
      <catAx>
        <axId val="10"/>
        <scaling>
          <orientation val="minMax"/>
        </scaling>
        <delete val="0"/>
        <axPos val="b"/>
        <title>
          <tx>
            <rich>
              <a:bodyPr/>
              <a:p>
                <a:pPr>
                  <a:defRPr/>
                </a:pPr>
                <a:r>
                  <a:t>Period</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Dollars</a:t>
                </a:r>
              </a:p>
            </rich>
          </tx>
        </title>
        <numFmt formatCode="\$#,##0" sourceLinked="0"/>
        <majorTickMark val="none"/>
        <minorTickMark val="none"/>
        <txPr>
          <a:bodyPr/>
          <a:p>
            <a:pPr>
              <a:defRPr sz="900"/>
            </a:pPr>
            <a:r>
              <a:t/>
            </a:r>
            <a:endParaRPr sz="900"/>
          </a:p>
        </txPr>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Future value of each annuity</a:t>
            </a:r>
          </a:p>
        </rich>
      </tx>
    </title>
    <plotArea>
      <barChart>
        <barDir val="col"/>
        <grouping val="clustered"/>
        <ser>
          <idx val="0"/>
          <order val="0"/>
          <spPr>
            <a:solidFill>
              <a:srgbClr val="4A7EBB"/>
            </a:solidFill>
            <a:ln>
              <a:prstDash val="solid"/>
            </a:ln>
          </spPr>
          <cat>
            <numRef>
              <f>'4 Varying the annuity'!$B$5:$F$5</f>
            </numRef>
          </cat>
          <val>
            <numRef>
              <f>'4 Varying the annuity'!$B$12:$F$12</f>
            </numRef>
          </val>
        </ser>
        <gapWidth val="150"/>
        <axId val="10"/>
        <axId val="100"/>
      </barChart>
      <catAx>
        <axId val="10"/>
        <scaling>
          <orientation val="minMax"/>
        </scaling>
        <delete val="0"/>
        <axPos val="b"/>
        <title>
          <tx>
            <rich>
              <a:bodyPr/>
              <a:p>
                <a:pPr>
                  <a:defRPr/>
                </a:pPr>
                <a:r>
                  <a:t>Scenario</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Future value ($)</a:t>
                </a:r>
              </a:p>
            </rich>
          </tx>
        </title>
        <numFmt formatCode="\$#,##0" sourceLinked="0"/>
        <majorTickMark val="none"/>
        <minorTickMark val="none"/>
        <txPr>
          <a:bodyPr/>
          <a:p>
            <a:pPr>
              <a:defRPr sz="900"/>
            </a:pPr>
            <a:r>
              <a:t/>
            </a:r>
            <a:endParaRPr sz="900"/>
          </a:p>
        </txPr>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Balance of the retirement fund</a:t>
            </a:r>
          </a:p>
        </rich>
      </tx>
    </title>
    <plotArea>
      <lineChart>
        <grouping val="standard"/>
        <ser>
          <idx val="0"/>
          <order val="0"/>
          <tx>
            <strRef>
              <f>'5 Present value'!E15</f>
            </strRef>
          </tx>
          <spPr>
            <a:ln w="22225">
              <a:solidFill>
                <a:srgbClr val="4A7EBB"/>
              </a:solidFill>
              <a:prstDash val="solid"/>
            </a:ln>
          </spPr>
          <marker>
            <symbol val="none"/>
            <spPr>
              <a:ln>
                <a:prstDash val="solid"/>
              </a:ln>
            </spPr>
          </marker>
          <cat>
            <numRef>
              <f>'5 Present value'!$A$16:$A$45</f>
            </numRef>
          </cat>
          <val>
            <numRef>
              <f>'5 Present value'!$E$16:$E$45</f>
            </numRef>
          </val>
          <smooth val="0"/>
        </ser>
        <axId val="10"/>
        <axId val="100"/>
      </lineChart>
      <catAx>
        <axId val="10"/>
        <scaling>
          <orientation val="minMax"/>
        </scaling>
        <delete val="0"/>
        <axPos val="b"/>
        <title>
          <tx>
            <rich>
              <a:bodyPr/>
              <a:p>
                <a:pPr>
                  <a:defRPr/>
                </a:pPr>
                <a:r>
                  <a:t>Period</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Balance ($)</a:t>
                </a:r>
              </a:p>
            </rich>
          </tx>
        </title>
        <numFmt formatCode="\$#,##0" sourceLinked="0"/>
        <majorTickMark val="none"/>
        <minorTickMark val="none"/>
        <txPr>
          <a:bodyPr/>
          <a:p>
            <a:pPr>
              <a:defRPr sz="900"/>
            </a:pPr>
            <a:r>
              <a:t/>
            </a:r>
            <a:endParaRPr sz="900"/>
          </a:p>
        </txPr>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Amount owing on the loan</a:t>
            </a:r>
          </a:p>
        </rich>
      </tx>
    </title>
    <plotArea>
      <lineChart>
        <grouping val="standard"/>
        <ser>
          <idx val="0"/>
          <order val="0"/>
          <tx>
            <strRef>
              <f>'6 Loan repayments'!E19</f>
            </strRef>
          </tx>
          <spPr>
            <a:ln w="22225">
              <a:solidFill>
                <a:srgbClr val="4A7EBB"/>
              </a:solidFill>
              <a:prstDash val="solid"/>
            </a:ln>
          </spPr>
          <marker>
            <symbol val="none"/>
            <spPr>
              <a:ln>
                <a:prstDash val="solid"/>
              </a:ln>
            </spPr>
          </marker>
          <cat>
            <numRef>
              <f>'6 Loan repayments'!$A$20:$A$139</f>
            </numRef>
          </cat>
          <val>
            <numRef>
              <f>'6 Loan repayments'!$E$20:$E$139</f>
            </numRef>
          </val>
          <smooth val="0"/>
        </ser>
        <axId val="10"/>
        <axId val="100"/>
      </lineChart>
      <catAx>
        <axId val="10"/>
        <scaling>
          <orientation val="minMax"/>
        </scaling>
        <delete val="0"/>
        <axPos val="b"/>
        <title>
          <tx>
            <rich>
              <a:bodyPr/>
              <a:p>
                <a:pPr>
                  <a:defRPr/>
                </a:pPr>
                <a:r>
                  <a:t>Repayment number</a:t>
                </a:r>
              </a:p>
            </rich>
          </tx>
        </title>
        <majorTickMark val="none"/>
        <minorTickMark val="none"/>
        <txPr>
          <a:bodyPr/>
          <a:p>
            <a:pPr>
              <a:defRPr sz="900"/>
            </a:pPr>
            <a:r>
              <a:t/>
            </a:r>
            <a:endParaRPr sz="900"/>
          </a:p>
        </txPr>
        <crossAx val="100"/>
        <lblOffset val="100"/>
      </catAx>
      <valAx>
        <axId val="100"/>
        <scaling>
          <orientation val="minMax"/>
        </scaling>
        <delete val="0"/>
        <axPos val="l"/>
        <majorGridlines/>
        <title>
          <tx>
            <rich>
              <a:bodyPr/>
              <a:p>
                <a:pPr>
                  <a:defRPr/>
                </a:pPr>
                <a:r>
                  <a:t>Balance ($)</a:t>
                </a:r>
              </a:p>
            </rich>
          </tx>
        </title>
        <numFmt formatCode="\$#,##0" sourceLinked="0"/>
        <majorTickMark val="none"/>
        <minorTickMark val="none"/>
        <txPr>
          <a:bodyPr/>
          <a:p>
            <a:pPr>
              <a:defRPr sz="900"/>
            </a:pPr>
            <a:r>
              <a:t/>
            </a:r>
            <a:endParaRPr sz="900"/>
          </a:p>
        </txPr>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15</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17</row>
      <rowOff>0</rowOff>
    </from>
    <ext cx="612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15</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14</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33"/>
  <sheetViews>
    <sheetView showGridLines="0" workbookViewId="0">
      <selection activeCell="A1" sqref="A1"/>
    </sheetView>
  </sheetViews>
  <sheetFormatPr baseColWidth="8" defaultRowHeight="15"/>
  <cols>
    <col width="26" customWidth="1" min="1" max="1"/>
    <col width="62" customWidth="1" min="2" max="2"/>
    <col width="58" customWidth="1" min="3" max="3"/>
  </cols>
  <sheetData>
    <row r="1" ht="31.5" customHeight="1">
      <c r="A1" s="1" t="inlineStr">
        <is>
          <t>Annuities – Spreadsheet Tutorial</t>
        </is>
      </c>
    </row>
    <row r="2" ht="30" customHeight="1">
      <c r="A2" s="2" t="inlineStr">
        <is>
          <t>Work through the tabs in order. Every table is built from formulas, so change a yellow cell and watch the numbers and graphs update.</t>
        </is>
      </c>
    </row>
    <row r="4">
      <c r="A4" s="3" t="inlineStr">
        <is>
          <t>What you will learn</t>
        </is>
      </c>
    </row>
    <row r="5">
      <c r="A5" s="4" t="inlineStr">
        <is>
          <t xml:space="preserve">   1.  Model an annuity period by period, and check it with the future value formula.</t>
        </is>
      </c>
    </row>
    <row r="6">
      <c r="A6" s="4" t="inlineStr">
        <is>
          <t xml:space="preserve">   2.  Build tables of future value and present value interest factors, and read values from them.</t>
        </is>
      </c>
    </row>
    <row r="7">
      <c r="A7" s="4" t="inlineStr">
        <is>
          <t xml:space="preserve">   3.  Find the contribution needed to reach a savings target, and compare it with a single sum.</t>
        </is>
      </c>
    </row>
    <row r="8">
      <c r="A8" s="4" t="inlineStr">
        <is>
          <t xml:space="preserve">   4.  Examine the effect of changing the initial amount, contribution, interest rate and term.</t>
        </is>
      </c>
    </row>
    <row r="9">
      <c r="A9" s="4" t="inlineStr">
        <is>
          <t xml:space="preserve">   5.  Model withdrawals from a retirement fund and the repayments on a loan.</t>
        </is>
      </c>
    </row>
    <row r="11">
      <c r="A11" s="3" t="inlineStr">
        <is>
          <t>Colour key</t>
        </is>
      </c>
    </row>
    <row r="12">
      <c r="A12" s="5" t="n">
        <v>100</v>
      </c>
      <c r="B12" s="4" t="inlineStr">
        <is>
          <t>Yellow cell with blue text = an input. Change these to explore.</t>
        </is>
      </c>
    </row>
    <row r="13">
      <c r="A13" s="6">
        <f>A12*2</f>
        <v/>
      </c>
      <c r="B13" s="4" t="inlineStr">
        <is>
          <t>White cell with black text = a formula. Click it to read the formula, but don't type over it.</t>
        </is>
      </c>
    </row>
    <row r="14">
      <c r="A14" s="3" t="inlineStr">
        <is>
          <t>Try it</t>
        </is>
      </c>
      <c r="B14" s="4" t="inlineStr">
        <is>
          <t>Short tasks on each tab. Answers are on the last tab.</t>
        </is>
      </c>
    </row>
    <row r="16">
      <c r="A16" s="3" t="inlineStr">
        <is>
          <t>The tabs</t>
        </is>
      </c>
    </row>
    <row r="17" ht="15" customHeight="1">
      <c r="A17" s="7" t="inlineStr">
        <is>
          <t>Tab</t>
        </is>
      </c>
      <c r="B17" s="7" t="inlineStr">
        <is>
          <t>What you model</t>
        </is>
      </c>
      <c r="C17" s="7" t="inlineStr">
        <is>
          <t>Key formula or function</t>
        </is>
      </c>
    </row>
    <row r="18">
      <c r="A18" s="4" t="inlineStr">
        <is>
          <t>1 Annuity table</t>
        </is>
      </c>
      <c r="B18" s="4" t="inlineStr">
        <is>
          <t>$2,000 a year saved into an account, period by period</t>
        </is>
      </c>
      <c r="C18" s="4" t="inlineStr">
        <is>
          <t>FV = M((1 + r)^n − 1) ÷ r</t>
        </is>
      </c>
    </row>
    <row r="19">
      <c r="A19" s="4" t="inlineStr">
        <is>
          <t>2 Interest factor tables</t>
        </is>
      </c>
      <c r="B19" s="4" t="inlineStr">
        <is>
          <t>Future value and present value interest factor tables</t>
        </is>
      </c>
      <c r="C19" s="4" t="inlineStr">
        <is>
          <t>Mixed references, INDEX and MATCH</t>
        </is>
      </c>
    </row>
    <row r="20">
      <c r="A20" s="4" t="inlineStr">
        <is>
          <t>3 Contribution needed</t>
        </is>
      </c>
      <c r="B20" s="4" t="inlineStr">
        <is>
          <t>Saving for a $50,000 target</t>
        </is>
      </c>
      <c r="C20" s="4" t="inlineStr">
        <is>
          <t>M = FV ÷ factor,   PV = FV ÷ (1 + r)^n</t>
        </is>
      </c>
    </row>
    <row r="21">
      <c r="A21" s="4" t="inlineStr">
        <is>
          <t>4 Varying the annuity</t>
        </is>
      </c>
      <c r="B21" s="4" t="inlineStr">
        <is>
          <t>Five annuities side by side</t>
        </is>
      </c>
      <c r="C21" s="4" t="inlineStr">
        <is>
          <t>FV = P(1 + r)^n + M((1 + r)^n − 1) ÷ r</t>
        </is>
      </c>
    </row>
    <row r="22">
      <c r="A22" s="4" t="inlineStr">
        <is>
          <t>5 Present value</t>
        </is>
      </c>
      <c r="B22" s="4" t="inlineStr">
        <is>
          <t>Withdrawing from a retirement fund</t>
        </is>
      </c>
      <c r="C22" s="4" t="inlineStr">
        <is>
          <t>PV = M(1 − (1 + r)^−n) ÷ r</t>
        </is>
      </c>
    </row>
    <row r="23">
      <c r="A23" s="4" t="inlineStr">
        <is>
          <t>6 Loan repayments</t>
        </is>
      </c>
      <c r="B23" s="4" t="inlineStr">
        <is>
          <t>A car loan as a present value annuity</t>
        </is>
      </c>
      <c r="C23" s="4" t="inlineStr">
        <is>
          <t>M = PV ÷ factor,   PMT</t>
        </is>
      </c>
    </row>
    <row r="26">
      <c r="A26" s="3" t="inlineStr">
        <is>
          <t>Spreadsheet skills you will use</t>
        </is>
      </c>
    </row>
    <row r="27">
      <c r="A27" s="8" t="inlineStr">
        <is>
          <t>Cell references</t>
        </is>
      </c>
      <c r="B27" s="4" t="inlineStr">
        <is>
          <t>The formula =B16*$B$6 uses the values in those cells. Change B6 and the answer updates.</t>
        </is>
      </c>
    </row>
    <row r="28">
      <c r="A28" s="8" t="inlineStr">
        <is>
          <t>Absolute references</t>
        </is>
      </c>
      <c r="B28" s="4" t="inlineStr">
        <is>
          <t>$B$6 stays locked on B6 when a formula is filled down. B16 (no $ signs) moves down a row each time.</t>
        </is>
      </c>
    </row>
    <row r="29">
      <c r="A29" s="8" t="inlineStr">
        <is>
          <t>Mixed references</t>
        </is>
      </c>
      <c r="B29" s="4" t="inlineStr">
        <is>
          <t>B$15 locks only the row; $A16 locks only the column. Useful when filling a formula across AND down.</t>
        </is>
      </c>
    </row>
    <row r="30">
      <c r="A30" s="8" t="inlineStr">
        <is>
          <t>Powers</t>
        </is>
      </c>
      <c r="B30" s="4" t="inlineStr">
        <is>
          <t>Type ^ for a power: (1+B6)^20 means (1 + r) to the power 20.</t>
        </is>
      </c>
    </row>
    <row r="31">
      <c r="A31" s="8" t="inlineStr">
        <is>
          <t>PMT</t>
        </is>
      </c>
      <c r="B31" s="4" t="inlineStr">
        <is>
          <t>=PMT(rate, number of periods, −amount borrowed) gives the equal repayment on a loan.</t>
        </is>
      </c>
    </row>
    <row r="32">
      <c r="A32" s="8" t="inlineStr">
        <is>
          <t>Insert a chart</t>
        </is>
      </c>
      <c r="B32" s="4" t="inlineStr">
        <is>
          <t>Select the table including its headings, then Insert &gt; Charts &gt; Line. Add a chart title and axis titles.</t>
        </is>
      </c>
    </row>
    <row r="33">
      <c r="A33" s="8" t="inlineStr">
        <is>
          <t>If you get lost</t>
        </is>
      </c>
      <c r="B33" s="4" t="inlineStr">
        <is>
          <t>Press Ctrl+Z (Cmd+Z on a Mac) to undo, or close without saving and reopen the file.</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7"/>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17" customWidth="1" min="6" max="6"/>
    <col width="3" customWidth="1" min="7" max="7"/>
    <col width="11" customWidth="1" min="8" max="8"/>
  </cols>
  <sheetData>
    <row r="1" ht="31.5" customHeight="1">
      <c r="A1" s="1" t="inlineStr">
        <is>
          <t>1   An annuity, period by period</t>
        </is>
      </c>
    </row>
    <row r="2" ht="30" customHeight="1">
      <c r="A2" s="2" t="inlineStr">
        <is>
          <t>You put $2,000 into a savings account at the end of every year, and the account earns 5% p.a. compounded annually. This is an annuity: equal contributions made at the end of each period, with interest compounding each period.</t>
        </is>
      </c>
    </row>
    <row r="4">
      <c r="A4" s="3" t="inlineStr">
        <is>
          <t>Inputs – change these</t>
        </is>
      </c>
      <c r="H4" s="3" t="inlineStr">
        <is>
          <t>How it works</t>
        </is>
      </c>
    </row>
    <row r="5">
      <c r="A5" s="4" t="inlineStr">
        <is>
          <t>Contribution at the end of each period, M ($)</t>
        </is>
      </c>
      <c r="B5" s="9" t="n">
        <v>2000</v>
      </c>
      <c r="H5" s="10" t="inlineStr">
        <is>
          <t>Each period, interest is calculated on the opening balance, then the contribution is added at the end of the period.</t>
        </is>
      </c>
    </row>
    <row r="6">
      <c r="A6" s="4" t="inlineStr">
        <is>
          <t>Interest rate per period, r</t>
        </is>
      </c>
      <c r="B6" s="11" t="n">
        <v>0.05</v>
      </c>
    </row>
    <row r="7">
      <c r="H7" s="12" t="inlineStr">
        <is>
          <t xml:space="preserve">    Interest = opening balance × r          Cell C16:   =B16*$B$6</t>
        </is>
      </c>
    </row>
    <row r="8">
      <c r="A8" s="3" t="inlineStr">
        <is>
          <t>Results</t>
        </is>
      </c>
      <c r="H8" s="12" t="inlineStr">
        <is>
          <t xml:space="preserve">    Closing balance = opening + interest + contribution          Cell E16:   =B16+C16+D16</t>
        </is>
      </c>
    </row>
    <row r="9">
      <c r="A9" s="4" t="inlineStr">
        <is>
          <t>Value after 4 periods ($)</t>
        </is>
      </c>
      <c r="B9" s="13">
        <f>E19</f>
        <v/>
      </c>
      <c r="H9" s="10" t="inlineStr">
        <is>
          <t>Each period starts with the previous closing balance (cell B17:  =E16). This is the table you build by hand for four periods; the spreadsheet just keeps going.</t>
        </is>
      </c>
    </row>
    <row r="10">
      <c r="A10" s="4" t="inlineStr">
        <is>
          <t>Value after 20 periods ($)</t>
        </is>
      </c>
      <c r="B10" s="13">
        <f>E35</f>
        <v/>
      </c>
    </row>
    <row r="11">
      <c r="A11" s="4" t="inlineStr">
        <is>
          <t>Total contributed over 20 periods ($)</t>
        </is>
      </c>
      <c r="B11" s="13">
        <f>F35</f>
        <v/>
      </c>
      <c r="H11" s="10" t="inlineStr">
        <is>
          <t>The future value formula gives the same answer without a table:</t>
        </is>
      </c>
    </row>
    <row r="12">
      <c r="A12" s="4" t="inlineStr">
        <is>
          <t>Interest earned over 20 periods ($)</t>
        </is>
      </c>
      <c r="B12" s="13">
        <f>B10-B11</f>
        <v/>
      </c>
      <c r="H12" s="12" t="inlineStr">
        <is>
          <t xml:space="preserve">    FV = M × ((1 + r)^n − 1) ÷ r          Cell B13:   =B5*((1+B6)^20-1)/B6</t>
        </is>
      </c>
    </row>
    <row r="13">
      <c r="A13" s="4" t="inlineStr">
        <is>
          <t>Check with the formula: future value after 20 periods ($)</t>
        </is>
      </c>
      <c r="B13" s="13">
        <f>B5*((1+B6)^20-1)/B6</f>
        <v/>
      </c>
      <c r="H13" s="10" t="inlineStr">
        <is>
          <t>On the graph, the gap between the two lines is the interest earned. It widens faster and faster, because interest is earned on earlier interest.</t>
        </is>
      </c>
    </row>
    <row r="14"/>
    <row r="15" ht="31.5" customHeight="1">
      <c r="A15" s="7" t="inlineStr">
        <is>
          <t>Period</t>
        </is>
      </c>
      <c r="B15" s="7" t="inlineStr">
        <is>
          <t>Opening balance ($)</t>
        </is>
      </c>
      <c r="C15" s="7" t="inlineStr">
        <is>
          <t>Interest earned ($)</t>
        </is>
      </c>
      <c r="D15" s="7" t="inlineStr">
        <is>
          <t>Contribution ($)</t>
        </is>
      </c>
      <c r="E15" s="7" t="inlineStr">
        <is>
          <t>Closing balance ($)</t>
        </is>
      </c>
      <c r="F15" s="7" t="inlineStr">
        <is>
          <t>Total contributed ($)</t>
        </is>
      </c>
    </row>
    <row r="16">
      <c r="A16" s="6" t="n">
        <v>1</v>
      </c>
      <c r="B16" s="13" t="n">
        <v>0</v>
      </c>
      <c r="C16" s="13">
        <f>B16*$B$6</f>
        <v/>
      </c>
      <c r="D16" s="13">
        <f>$B$5</f>
        <v/>
      </c>
      <c r="E16" s="13">
        <f>B16+C16+D16</f>
        <v/>
      </c>
      <c r="F16" s="13">
        <f>$B$5*A16</f>
        <v/>
      </c>
    </row>
    <row r="17">
      <c r="A17" s="6" t="n">
        <v>2</v>
      </c>
      <c r="B17" s="13">
        <f>E16</f>
        <v/>
      </c>
      <c r="C17" s="13">
        <f>B17*$B$6</f>
        <v/>
      </c>
      <c r="D17" s="13">
        <f>$B$5</f>
        <v/>
      </c>
      <c r="E17" s="13">
        <f>B17+C17+D17</f>
        <v/>
      </c>
      <c r="F17" s="13">
        <f>$B$5*A17</f>
        <v/>
      </c>
    </row>
    <row r="18">
      <c r="A18" s="6" t="n">
        <v>3</v>
      </c>
      <c r="B18" s="13">
        <f>E17</f>
        <v/>
      </c>
      <c r="C18" s="13">
        <f>B18*$B$6</f>
        <v/>
      </c>
      <c r="D18" s="13">
        <f>$B$5</f>
        <v/>
      </c>
      <c r="E18" s="13">
        <f>B18+C18+D18</f>
        <v/>
      </c>
      <c r="F18" s="13">
        <f>$B$5*A18</f>
        <v/>
      </c>
    </row>
    <row r="19">
      <c r="A19" s="6" t="n">
        <v>4</v>
      </c>
      <c r="B19" s="13">
        <f>E18</f>
        <v/>
      </c>
      <c r="C19" s="13">
        <f>B19*$B$6</f>
        <v/>
      </c>
      <c r="D19" s="13">
        <f>$B$5</f>
        <v/>
      </c>
      <c r="E19" s="13">
        <f>B19+C19+D19</f>
        <v/>
      </c>
      <c r="F19" s="13">
        <f>$B$5*A19</f>
        <v/>
      </c>
    </row>
    <row r="20">
      <c r="A20" s="6" t="n">
        <v>5</v>
      </c>
      <c r="B20" s="13">
        <f>E19</f>
        <v/>
      </c>
      <c r="C20" s="13">
        <f>B20*$B$6</f>
        <v/>
      </c>
      <c r="D20" s="13">
        <f>$B$5</f>
        <v/>
      </c>
      <c r="E20" s="13">
        <f>B20+C20+D20</f>
        <v/>
      </c>
      <c r="F20" s="13">
        <f>$B$5*A20</f>
        <v/>
      </c>
    </row>
    <row r="21">
      <c r="A21" s="6" t="n">
        <v>6</v>
      </c>
      <c r="B21" s="13">
        <f>E20</f>
        <v/>
      </c>
      <c r="C21" s="13">
        <f>B21*$B$6</f>
        <v/>
      </c>
      <c r="D21" s="13">
        <f>$B$5</f>
        <v/>
      </c>
      <c r="E21" s="13">
        <f>B21+C21+D21</f>
        <v/>
      </c>
      <c r="F21" s="13">
        <f>$B$5*A21</f>
        <v/>
      </c>
    </row>
    <row r="22">
      <c r="A22" s="6" t="n">
        <v>7</v>
      </c>
      <c r="B22" s="13">
        <f>E21</f>
        <v/>
      </c>
      <c r="C22" s="13">
        <f>B22*$B$6</f>
        <v/>
      </c>
      <c r="D22" s="13">
        <f>$B$5</f>
        <v/>
      </c>
      <c r="E22" s="13">
        <f>B22+C22+D22</f>
        <v/>
      </c>
      <c r="F22" s="13">
        <f>$B$5*A22</f>
        <v/>
      </c>
    </row>
    <row r="23">
      <c r="A23" s="6" t="n">
        <v>8</v>
      </c>
      <c r="B23" s="13">
        <f>E22</f>
        <v/>
      </c>
      <c r="C23" s="13">
        <f>B23*$B$6</f>
        <v/>
      </c>
      <c r="D23" s="13">
        <f>$B$5</f>
        <v/>
      </c>
      <c r="E23" s="13">
        <f>B23+C23+D23</f>
        <v/>
      </c>
      <c r="F23" s="13">
        <f>$B$5*A23</f>
        <v/>
      </c>
    </row>
    <row r="24">
      <c r="A24" s="6" t="n">
        <v>9</v>
      </c>
      <c r="B24" s="13">
        <f>E23</f>
        <v/>
      </c>
      <c r="C24" s="13">
        <f>B24*$B$6</f>
        <v/>
      </c>
      <c r="D24" s="13">
        <f>$B$5</f>
        <v/>
      </c>
      <c r="E24" s="13">
        <f>B24+C24+D24</f>
        <v/>
      </c>
      <c r="F24" s="13">
        <f>$B$5*A24</f>
        <v/>
      </c>
    </row>
    <row r="25">
      <c r="A25" s="6" t="n">
        <v>10</v>
      </c>
      <c r="B25" s="13">
        <f>E24</f>
        <v/>
      </c>
      <c r="C25" s="13">
        <f>B25*$B$6</f>
        <v/>
      </c>
      <c r="D25" s="13">
        <f>$B$5</f>
        <v/>
      </c>
      <c r="E25" s="13">
        <f>B25+C25+D25</f>
        <v/>
      </c>
      <c r="F25" s="13">
        <f>$B$5*A25</f>
        <v/>
      </c>
    </row>
    <row r="26">
      <c r="A26" s="6" t="n">
        <v>11</v>
      </c>
      <c r="B26" s="13">
        <f>E25</f>
        <v/>
      </c>
      <c r="C26" s="13">
        <f>B26*$B$6</f>
        <v/>
      </c>
      <c r="D26" s="13">
        <f>$B$5</f>
        <v/>
      </c>
      <c r="E26" s="13">
        <f>B26+C26+D26</f>
        <v/>
      </c>
      <c r="F26" s="13">
        <f>$B$5*A26</f>
        <v/>
      </c>
    </row>
    <row r="27">
      <c r="A27" s="6" t="n">
        <v>12</v>
      </c>
      <c r="B27" s="13">
        <f>E26</f>
        <v/>
      </c>
      <c r="C27" s="13">
        <f>B27*$B$6</f>
        <v/>
      </c>
      <c r="D27" s="13">
        <f>$B$5</f>
        <v/>
      </c>
      <c r="E27" s="13">
        <f>B27+C27+D27</f>
        <v/>
      </c>
      <c r="F27" s="13">
        <f>$B$5*A27</f>
        <v/>
      </c>
    </row>
    <row r="28">
      <c r="A28" s="6" t="n">
        <v>13</v>
      </c>
      <c r="B28" s="13">
        <f>E27</f>
        <v/>
      </c>
      <c r="C28" s="13">
        <f>B28*$B$6</f>
        <v/>
      </c>
      <c r="D28" s="13">
        <f>$B$5</f>
        <v/>
      </c>
      <c r="E28" s="13">
        <f>B28+C28+D28</f>
        <v/>
      </c>
      <c r="F28" s="13">
        <f>$B$5*A28</f>
        <v/>
      </c>
    </row>
    <row r="29">
      <c r="A29" s="6" t="n">
        <v>14</v>
      </c>
      <c r="B29" s="13">
        <f>E28</f>
        <v/>
      </c>
      <c r="C29" s="13">
        <f>B29*$B$6</f>
        <v/>
      </c>
      <c r="D29" s="13">
        <f>$B$5</f>
        <v/>
      </c>
      <c r="E29" s="13">
        <f>B29+C29+D29</f>
        <v/>
      </c>
      <c r="F29" s="13">
        <f>$B$5*A29</f>
        <v/>
      </c>
    </row>
    <row r="30">
      <c r="A30" s="6" t="n">
        <v>15</v>
      </c>
      <c r="B30" s="13">
        <f>E29</f>
        <v/>
      </c>
      <c r="C30" s="13">
        <f>B30*$B$6</f>
        <v/>
      </c>
      <c r="D30" s="13">
        <f>$B$5</f>
        <v/>
      </c>
      <c r="E30" s="13">
        <f>B30+C30+D30</f>
        <v/>
      </c>
      <c r="F30" s="13">
        <f>$B$5*A30</f>
        <v/>
      </c>
    </row>
    <row r="31">
      <c r="A31" s="6" t="n">
        <v>16</v>
      </c>
      <c r="B31" s="13">
        <f>E30</f>
        <v/>
      </c>
      <c r="C31" s="13">
        <f>B31*$B$6</f>
        <v/>
      </c>
      <c r="D31" s="13">
        <f>$B$5</f>
        <v/>
      </c>
      <c r="E31" s="13">
        <f>B31+C31+D31</f>
        <v/>
      </c>
      <c r="F31" s="13">
        <f>$B$5*A31</f>
        <v/>
      </c>
    </row>
    <row r="32">
      <c r="A32" s="6" t="n">
        <v>17</v>
      </c>
      <c r="B32" s="13">
        <f>E31</f>
        <v/>
      </c>
      <c r="C32" s="13">
        <f>B32*$B$6</f>
        <v/>
      </c>
      <c r="D32" s="13">
        <f>$B$5</f>
        <v/>
      </c>
      <c r="E32" s="13">
        <f>B32+C32+D32</f>
        <v/>
      </c>
      <c r="F32" s="13">
        <f>$B$5*A32</f>
        <v/>
      </c>
      <c r="H32" s="3" t="inlineStr">
        <is>
          <t>Try it</t>
        </is>
      </c>
    </row>
    <row r="33">
      <c r="A33" s="6" t="n">
        <v>18</v>
      </c>
      <c r="B33" s="13">
        <f>E32</f>
        <v/>
      </c>
      <c r="C33" s="13">
        <f>B33*$B$6</f>
        <v/>
      </c>
      <c r="D33" s="13">
        <f>$B$5</f>
        <v/>
      </c>
      <c r="E33" s="13">
        <f>B33+C33+D33</f>
        <v/>
      </c>
      <c r="F33" s="13">
        <f>$B$5*A33</f>
        <v/>
      </c>
      <c r="H33" s="10" t="inlineStr">
        <is>
          <t>1. Change the contribution to $3,000. What is the value after 20 periods?</t>
        </is>
      </c>
    </row>
    <row r="34">
      <c r="A34" s="6" t="n">
        <v>19</v>
      </c>
      <c r="B34" s="13">
        <f>E33</f>
        <v/>
      </c>
      <c r="C34" s="13">
        <f>B34*$B$6</f>
        <v/>
      </c>
      <c r="D34" s="13">
        <f>$B$5</f>
        <v/>
      </c>
      <c r="E34" s="13">
        <f>B34+C34+D34</f>
        <v/>
      </c>
      <c r="F34" s="13">
        <f>$B$5*A34</f>
        <v/>
      </c>
      <c r="H34" s="10" t="inlineStr">
        <is>
          <t>2. Set it back to $2,000 and change the rate to 7%. What is the value after 20 periods, and how much of it is interest?</t>
        </is>
      </c>
    </row>
    <row r="35">
      <c r="A35" s="6" t="n">
        <v>20</v>
      </c>
      <c r="B35" s="13">
        <f>E34</f>
        <v/>
      </c>
      <c r="C35" s="13">
        <f>B35*$B$6</f>
        <v/>
      </c>
      <c r="D35" s="13">
        <f>$B$5</f>
        <v/>
      </c>
      <c r="E35" s="13">
        <f>B35+C35+D35</f>
        <v/>
      </c>
      <c r="F35" s="13">
        <f>$B$5*A35</f>
        <v/>
      </c>
    </row>
    <row r="36">
      <c r="H36" s="10" t="inlineStr">
        <is>
          <t>3. Look down column C. Why does the interest earned increase every period?</t>
        </is>
      </c>
    </row>
    <row r="37">
      <c r="H37" s="2" t="inlineStr">
        <is>
          <t>Set the inputs back to $2,000 and 5% when you finish.</t>
        </is>
      </c>
    </row>
  </sheetData>
  <mergeCells count="13">
    <mergeCell ref="H36:Q36"/>
    <mergeCell ref="H37:Q37"/>
    <mergeCell ref="H5:Q6"/>
    <mergeCell ref="H8:Q8"/>
    <mergeCell ref="H13:Q14"/>
    <mergeCell ref="H34:Q35"/>
    <mergeCell ref="H12:Q12"/>
    <mergeCell ref="A2:Q2"/>
    <mergeCell ref="H9:Q10"/>
    <mergeCell ref="H11:Q11"/>
    <mergeCell ref="H7:Q7"/>
    <mergeCell ref="H33:Q33"/>
    <mergeCell ref="A1:Q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79"/>
  <sheetViews>
    <sheetView showGridLines="0"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3" customWidth="1" min="12" max="12"/>
    <col width="11" customWidth="1" min="13" max="13"/>
  </cols>
  <sheetData>
    <row r="1" ht="31.5" customHeight="1">
      <c r="A1" s="1" t="inlineStr">
        <is>
          <t>2   Tables of interest factors</t>
        </is>
      </c>
    </row>
    <row r="2" ht="30" customHeight="1">
      <c r="A2" s="2" t="inlineStr">
        <is>
          <t>Interest factor tables give the value of an annuity of $1 per period. Multiply a factor by the contribution to find a future value or a present value. One formula with mixed references builds each whole table.</t>
        </is>
      </c>
    </row>
    <row r="4">
      <c r="A4" s="3" t="inlineStr">
        <is>
          <t>Use the tables – change these</t>
        </is>
      </c>
      <c r="M4" s="3" t="inlineStr">
        <is>
          <t>How it works</t>
        </is>
      </c>
    </row>
    <row r="5">
      <c r="A5" s="4" t="inlineStr">
        <is>
          <t>Contribution or withdrawal per period, M ($)</t>
        </is>
      </c>
      <c r="B5" s="9" t="n">
        <v>1500</v>
      </c>
      <c r="M5" s="10" t="inlineStr">
        <is>
          <t>Each factor in the top table is the future value of $1 contributed at the end of every period. Multiply it by the contribution to get the future value.</t>
        </is>
      </c>
    </row>
    <row r="6">
      <c r="A6" s="4" t="inlineStr">
        <is>
          <t>Interest rate per period (1% to 10%)</t>
        </is>
      </c>
      <c r="B6" s="14" t="n">
        <v>0.04</v>
      </c>
    </row>
    <row r="7">
      <c r="A7" s="4" t="inlineStr">
        <is>
          <t>Number of periods (1 to 30)</t>
        </is>
      </c>
      <c r="B7" s="5" t="n">
        <v>15</v>
      </c>
      <c r="M7" s="12" t="inlineStr">
        <is>
          <t xml:space="preserve">    Cell B16:   =((1+B$15)^$A16-1)/B$15</t>
        </is>
      </c>
    </row>
    <row r="8">
      <c r="A8" s="3" t="inlineStr">
        <is>
          <t>Results</t>
        </is>
      </c>
      <c r="M8" s="10" t="inlineStr">
        <is>
          <t>B$15 locks the row, so every cell takes its rate from row 15. $A16 locks the column, so every cell takes its number of periods from column A. That is why one formula can be filled across AND down to build the whole table.</t>
        </is>
      </c>
    </row>
    <row r="9">
      <c r="A9" s="4" t="inlineStr">
        <is>
          <t>Future value interest factor</t>
        </is>
      </c>
      <c r="B9" s="15">
        <f>INDEX($B$16:$K$45,MATCH(B7,$A$16:$A$45,0),MATCH(B6,$B$15:$K$15,0))</f>
        <v/>
      </c>
    </row>
    <row r="10">
      <c r="A10" s="4" t="inlineStr">
        <is>
          <t>Future value = M × factor ($)</t>
        </is>
      </c>
      <c r="B10" s="13">
        <f>B5*B9</f>
        <v/>
      </c>
    </row>
    <row r="11">
      <c r="A11" s="4" t="inlineStr">
        <is>
          <t>Present value interest factor</t>
        </is>
      </c>
      <c r="B11" s="15">
        <f>INDEX($B$50:$K$79,MATCH(B7,$A$50:$A$79,0),MATCH(B6,$B$49:$K$49,0))</f>
        <v/>
      </c>
      <c r="M11" s="10" t="inlineStr">
        <is>
          <t>The bottom table gives the present value of $1 per period: the single amount invested now that could pay out $1 at the end of every period.</t>
        </is>
      </c>
    </row>
    <row r="12">
      <c r="A12" s="4" t="inlineStr">
        <is>
          <t>Present value = M × factor ($)</t>
        </is>
      </c>
      <c r="B12" s="13">
        <f>B5*B11</f>
        <v/>
      </c>
    </row>
    <row r="13">
      <c r="M13" s="12" t="inlineStr">
        <is>
          <t xml:space="preserve">    Cell B50:   =(1-(1+B$49)^-$A50)/B$49</t>
        </is>
      </c>
    </row>
    <row r="14">
      <c r="A14" s="3" t="inlineStr">
        <is>
          <t>Future value interest factors</t>
        </is>
      </c>
      <c r="M14" s="10" t="inlineStr">
        <is>
          <t>INDEX and MATCH read a value from a table. MATCH finds the row for n and the column for r, and INDEX returns the factor where they meet (cell B9).</t>
        </is>
      </c>
    </row>
    <row r="15" ht="15" customHeight="1">
      <c r="A15" s="7" t="inlineStr">
        <is>
          <t>Periods, n</t>
        </is>
      </c>
      <c r="B15" s="16" t="n">
        <v>0.01</v>
      </c>
      <c r="C15" s="16" t="n">
        <v>0.02</v>
      </c>
      <c r="D15" s="16" t="n">
        <v>0.03</v>
      </c>
      <c r="E15" s="16" t="n">
        <v>0.04</v>
      </c>
      <c r="F15" s="16" t="n">
        <v>0.05</v>
      </c>
      <c r="G15" s="16" t="n">
        <v>0.06</v>
      </c>
      <c r="H15" s="16" t="n">
        <v>0.07000000000000001</v>
      </c>
      <c r="I15" s="16" t="n">
        <v>0.08</v>
      </c>
      <c r="J15" s="16" t="n">
        <v>0.09</v>
      </c>
      <c r="K15" s="16" t="n">
        <v>0.1</v>
      </c>
    </row>
    <row r="16">
      <c r="A16" s="17" t="n">
        <v>1</v>
      </c>
      <c r="B16" s="15">
        <f>((1+B$15)^$A16-1)/B$15</f>
        <v/>
      </c>
      <c r="C16" s="15">
        <f>((1+C$15)^$A16-1)/C$15</f>
        <v/>
      </c>
      <c r="D16" s="15">
        <f>((1+D$15)^$A16-1)/D$15</f>
        <v/>
      </c>
      <c r="E16" s="15">
        <f>((1+E$15)^$A16-1)/E$15</f>
        <v/>
      </c>
      <c r="F16" s="15">
        <f>((1+F$15)^$A16-1)/F$15</f>
        <v/>
      </c>
      <c r="G16" s="15">
        <f>((1+G$15)^$A16-1)/G$15</f>
        <v/>
      </c>
      <c r="H16" s="15">
        <f>((1+H$15)^$A16-1)/H$15</f>
        <v/>
      </c>
      <c r="I16" s="15">
        <f>((1+I$15)^$A16-1)/I$15</f>
        <v/>
      </c>
      <c r="J16" s="15">
        <f>((1+J$15)^$A16-1)/J$15</f>
        <v/>
      </c>
      <c r="K16" s="15">
        <f>((1+K$15)^$A16-1)/K$15</f>
        <v/>
      </c>
    </row>
    <row r="17">
      <c r="A17" s="17" t="n">
        <v>2</v>
      </c>
      <c r="B17" s="15">
        <f>((1+B$15)^$A17-1)/B$15</f>
        <v/>
      </c>
      <c r="C17" s="15">
        <f>((1+C$15)^$A17-1)/C$15</f>
        <v/>
      </c>
      <c r="D17" s="15">
        <f>((1+D$15)^$A17-1)/D$15</f>
        <v/>
      </c>
      <c r="E17" s="15">
        <f>((1+E$15)^$A17-1)/E$15</f>
        <v/>
      </c>
      <c r="F17" s="15">
        <f>((1+F$15)^$A17-1)/F$15</f>
        <v/>
      </c>
      <c r="G17" s="15">
        <f>((1+G$15)^$A17-1)/G$15</f>
        <v/>
      </c>
      <c r="H17" s="15">
        <f>((1+H$15)^$A17-1)/H$15</f>
        <v/>
      </c>
      <c r="I17" s="15">
        <f>((1+I$15)^$A17-1)/I$15</f>
        <v/>
      </c>
      <c r="J17" s="15">
        <f>((1+J$15)^$A17-1)/J$15</f>
        <v/>
      </c>
      <c r="K17" s="15">
        <f>((1+K$15)^$A17-1)/K$15</f>
        <v/>
      </c>
      <c r="M17" s="3" t="inlineStr">
        <is>
          <t>Try it</t>
        </is>
      </c>
    </row>
    <row r="18">
      <c r="A18" s="17" t="n">
        <v>3</v>
      </c>
      <c r="B18" s="15">
        <f>((1+B$15)^$A18-1)/B$15</f>
        <v/>
      </c>
      <c r="C18" s="15">
        <f>((1+C$15)^$A18-1)/C$15</f>
        <v/>
      </c>
      <c r="D18" s="15">
        <f>((1+D$15)^$A18-1)/D$15</f>
        <v/>
      </c>
      <c r="E18" s="15">
        <f>((1+E$15)^$A18-1)/E$15</f>
        <v/>
      </c>
      <c r="F18" s="15">
        <f>((1+F$15)^$A18-1)/F$15</f>
        <v/>
      </c>
      <c r="G18" s="15">
        <f>((1+G$15)^$A18-1)/G$15</f>
        <v/>
      </c>
      <c r="H18" s="15">
        <f>((1+H$15)^$A18-1)/H$15</f>
        <v/>
      </c>
      <c r="I18" s="15">
        <f>((1+I$15)^$A18-1)/I$15</f>
        <v/>
      </c>
      <c r="J18" s="15">
        <f>((1+J$15)^$A18-1)/J$15</f>
        <v/>
      </c>
      <c r="K18" s="15">
        <f>((1+K$15)^$A18-1)/K$15</f>
        <v/>
      </c>
      <c r="M18" s="10" t="inlineStr">
        <is>
          <t>1. Use the table to find the future value interest factor for 10 periods at 6%. Check it with cell B9.</t>
        </is>
      </c>
    </row>
    <row r="19">
      <c r="A19" s="17" t="n">
        <v>4</v>
      </c>
      <c r="B19" s="15">
        <f>((1+B$15)^$A19-1)/B$15</f>
        <v/>
      </c>
      <c r="C19" s="15">
        <f>((1+C$15)^$A19-1)/C$15</f>
        <v/>
      </c>
      <c r="D19" s="15">
        <f>((1+D$15)^$A19-1)/D$15</f>
        <v/>
      </c>
      <c r="E19" s="15">
        <f>((1+E$15)^$A19-1)/E$15</f>
        <v/>
      </c>
      <c r="F19" s="15">
        <f>((1+F$15)^$A19-1)/F$15</f>
        <v/>
      </c>
      <c r="G19" s="15">
        <f>((1+G$15)^$A19-1)/G$15</f>
        <v/>
      </c>
      <c r="H19" s="15">
        <f>((1+H$15)^$A19-1)/H$15</f>
        <v/>
      </c>
      <c r="I19" s="15">
        <f>((1+I$15)^$A19-1)/I$15</f>
        <v/>
      </c>
      <c r="J19" s="15">
        <f>((1+J$15)^$A19-1)/J$15</f>
        <v/>
      </c>
      <c r="K19" s="15">
        <f>((1+K$15)^$A19-1)/K$15</f>
        <v/>
      </c>
    </row>
    <row r="20">
      <c r="A20" s="17" t="n">
        <v>5</v>
      </c>
      <c r="B20" s="15">
        <f>((1+B$15)^$A20-1)/B$15</f>
        <v/>
      </c>
      <c r="C20" s="15">
        <f>((1+C$15)^$A20-1)/C$15</f>
        <v/>
      </c>
      <c r="D20" s="15">
        <f>((1+D$15)^$A20-1)/D$15</f>
        <v/>
      </c>
      <c r="E20" s="15">
        <f>((1+E$15)^$A20-1)/E$15</f>
        <v/>
      </c>
      <c r="F20" s="15">
        <f>((1+F$15)^$A20-1)/F$15</f>
        <v/>
      </c>
      <c r="G20" s="15">
        <f>((1+G$15)^$A20-1)/G$15</f>
        <v/>
      </c>
      <c r="H20" s="15">
        <f>((1+H$15)^$A20-1)/H$15</f>
        <v/>
      </c>
      <c r="I20" s="15">
        <f>((1+I$15)^$A20-1)/I$15</f>
        <v/>
      </c>
      <c r="J20" s="15">
        <f>((1+J$15)^$A20-1)/J$15</f>
        <v/>
      </c>
      <c r="K20" s="15">
        <f>((1+K$15)^$A20-1)/K$15</f>
        <v/>
      </c>
      <c r="M20" s="10" t="inlineStr">
        <is>
          <t>2. Find the future value of $800 per period for 25 periods at 3%.</t>
        </is>
      </c>
    </row>
    <row r="21">
      <c r="A21" s="17" t="n">
        <v>6</v>
      </c>
      <c r="B21" s="15">
        <f>((1+B$15)^$A21-1)/B$15</f>
        <v/>
      </c>
      <c r="C21" s="15">
        <f>((1+C$15)^$A21-1)/C$15</f>
        <v/>
      </c>
      <c r="D21" s="15">
        <f>((1+D$15)^$A21-1)/D$15</f>
        <v/>
      </c>
      <c r="E21" s="15">
        <f>((1+E$15)^$A21-1)/E$15</f>
        <v/>
      </c>
      <c r="F21" s="15">
        <f>((1+F$15)^$A21-1)/F$15</f>
        <v/>
      </c>
      <c r="G21" s="15">
        <f>((1+G$15)^$A21-1)/G$15</f>
        <v/>
      </c>
      <c r="H21" s="15">
        <f>((1+H$15)^$A21-1)/H$15</f>
        <v/>
      </c>
      <c r="I21" s="15">
        <f>((1+I$15)^$A21-1)/I$15</f>
        <v/>
      </c>
      <c r="J21" s="15">
        <f>((1+J$15)^$A21-1)/J$15</f>
        <v/>
      </c>
      <c r="K21" s="15">
        <f>((1+K$15)^$A21-1)/K$15</f>
        <v/>
      </c>
      <c r="M21" s="10" t="inlineStr">
        <is>
          <t>3. Read along row n = 30. Why do the factors grow so much faster than the rate does?</t>
        </is>
      </c>
    </row>
    <row r="22">
      <c r="A22" s="17" t="n">
        <v>7</v>
      </c>
      <c r="B22" s="15">
        <f>((1+B$15)^$A22-1)/B$15</f>
        <v/>
      </c>
      <c r="C22" s="15">
        <f>((1+C$15)^$A22-1)/C$15</f>
        <v/>
      </c>
      <c r="D22" s="15">
        <f>((1+D$15)^$A22-1)/D$15</f>
        <v/>
      </c>
      <c r="E22" s="15">
        <f>((1+E$15)^$A22-1)/E$15</f>
        <v/>
      </c>
      <c r="F22" s="15">
        <f>((1+F$15)^$A22-1)/F$15</f>
        <v/>
      </c>
      <c r="G22" s="15">
        <f>((1+G$15)^$A22-1)/G$15</f>
        <v/>
      </c>
      <c r="H22" s="15">
        <f>((1+H$15)^$A22-1)/H$15</f>
        <v/>
      </c>
      <c r="I22" s="15">
        <f>((1+I$15)^$A22-1)/I$15</f>
        <v/>
      </c>
      <c r="J22" s="15">
        <f>((1+J$15)^$A22-1)/J$15</f>
        <v/>
      </c>
      <c r="K22" s="15">
        <f>((1+K$15)^$A22-1)/K$15</f>
        <v/>
      </c>
      <c r="M22" s="2" t="inlineStr">
        <is>
          <t>Set the inputs back to $1,500, 4% and 15 periods when you finish.</t>
        </is>
      </c>
    </row>
    <row r="23">
      <c r="A23" s="17" t="n">
        <v>8</v>
      </c>
      <c r="B23" s="15">
        <f>((1+B$15)^$A23-1)/B$15</f>
        <v/>
      </c>
      <c r="C23" s="15">
        <f>((1+C$15)^$A23-1)/C$15</f>
        <v/>
      </c>
      <c r="D23" s="15">
        <f>((1+D$15)^$A23-1)/D$15</f>
        <v/>
      </c>
      <c r="E23" s="15">
        <f>((1+E$15)^$A23-1)/E$15</f>
        <v/>
      </c>
      <c r="F23" s="15">
        <f>((1+F$15)^$A23-1)/F$15</f>
        <v/>
      </c>
      <c r="G23" s="15">
        <f>((1+G$15)^$A23-1)/G$15</f>
        <v/>
      </c>
      <c r="H23" s="15">
        <f>((1+H$15)^$A23-1)/H$15</f>
        <v/>
      </c>
      <c r="I23" s="15">
        <f>((1+I$15)^$A23-1)/I$15</f>
        <v/>
      </c>
      <c r="J23" s="15">
        <f>((1+J$15)^$A23-1)/J$15</f>
        <v/>
      </c>
      <c r="K23" s="15">
        <f>((1+K$15)^$A23-1)/K$15</f>
        <v/>
      </c>
    </row>
    <row r="24">
      <c r="A24" s="17" t="n">
        <v>9</v>
      </c>
      <c r="B24" s="15">
        <f>((1+B$15)^$A24-1)/B$15</f>
        <v/>
      </c>
      <c r="C24" s="15">
        <f>((1+C$15)^$A24-1)/C$15</f>
        <v/>
      </c>
      <c r="D24" s="15">
        <f>((1+D$15)^$A24-1)/D$15</f>
        <v/>
      </c>
      <c r="E24" s="15">
        <f>((1+E$15)^$A24-1)/E$15</f>
        <v/>
      </c>
      <c r="F24" s="15">
        <f>((1+F$15)^$A24-1)/F$15</f>
        <v/>
      </c>
      <c r="G24" s="15">
        <f>((1+G$15)^$A24-1)/G$15</f>
        <v/>
      </c>
      <c r="H24" s="15">
        <f>((1+H$15)^$A24-1)/H$15</f>
        <v/>
      </c>
      <c r="I24" s="15">
        <f>((1+I$15)^$A24-1)/I$15</f>
        <v/>
      </c>
      <c r="J24" s="15">
        <f>((1+J$15)^$A24-1)/J$15</f>
        <v/>
      </c>
      <c r="K24" s="15">
        <f>((1+K$15)^$A24-1)/K$15</f>
        <v/>
      </c>
    </row>
    <row r="25">
      <c r="A25" s="17" t="n">
        <v>10</v>
      </c>
      <c r="B25" s="15">
        <f>((1+B$15)^$A25-1)/B$15</f>
        <v/>
      </c>
      <c r="C25" s="15">
        <f>((1+C$15)^$A25-1)/C$15</f>
        <v/>
      </c>
      <c r="D25" s="15">
        <f>((1+D$15)^$A25-1)/D$15</f>
        <v/>
      </c>
      <c r="E25" s="15">
        <f>((1+E$15)^$A25-1)/E$15</f>
        <v/>
      </c>
      <c r="F25" s="15">
        <f>((1+F$15)^$A25-1)/F$15</f>
        <v/>
      </c>
      <c r="G25" s="15">
        <f>((1+G$15)^$A25-1)/G$15</f>
        <v/>
      </c>
      <c r="H25" s="15">
        <f>((1+H$15)^$A25-1)/H$15</f>
        <v/>
      </c>
      <c r="I25" s="15">
        <f>((1+I$15)^$A25-1)/I$15</f>
        <v/>
      </c>
      <c r="J25" s="15">
        <f>((1+J$15)^$A25-1)/J$15</f>
        <v/>
      </c>
      <c r="K25" s="15">
        <f>((1+K$15)^$A25-1)/K$15</f>
        <v/>
      </c>
    </row>
    <row r="26">
      <c r="A26" s="17" t="n">
        <v>11</v>
      </c>
      <c r="B26" s="15">
        <f>((1+B$15)^$A26-1)/B$15</f>
        <v/>
      </c>
      <c r="C26" s="15">
        <f>((1+C$15)^$A26-1)/C$15</f>
        <v/>
      </c>
      <c r="D26" s="15">
        <f>((1+D$15)^$A26-1)/D$15</f>
        <v/>
      </c>
      <c r="E26" s="15">
        <f>((1+E$15)^$A26-1)/E$15</f>
        <v/>
      </c>
      <c r="F26" s="15">
        <f>((1+F$15)^$A26-1)/F$15</f>
        <v/>
      </c>
      <c r="G26" s="15">
        <f>((1+G$15)^$A26-1)/G$15</f>
        <v/>
      </c>
      <c r="H26" s="15">
        <f>((1+H$15)^$A26-1)/H$15</f>
        <v/>
      </c>
      <c r="I26" s="15">
        <f>((1+I$15)^$A26-1)/I$15</f>
        <v/>
      </c>
      <c r="J26" s="15">
        <f>((1+J$15)^$A26-1)/J$15</f>
        <v/>
      </c>
      <c r="K26" s="15">
        <f>((1+K$15)^$A26-1)/K$15</f>
        <v/>
      </c>
    </row>
    <row r="27">
      <c r="A27" s="17" t="n">
        <v>12</v>
      </c>
      <c r="B27" s="15">
        <f>((1+B$15)^$A27-1)/B$15</f>
        <v/>
      </c>
      <c r="C27" s="15">
        <f>((1+C$15)^$A27-1)/C$15</f>
        <v/>
      </c>
      <c r="D27" s="15">
        <f>((1+D$15)^$A27-1)/D$15</f>
        <v/>
      </c>
      <c r="E27" s="15">
        <f>((1+E$15)^$A27-1)/E$15</f>
        <v/>
      </c>
      <c r="F27" s="15">
        <f>((1+F$15)^$A27-1)/F$15</f>
        <v/>
      </c>
      <c r="G27" s="15">
        <f>((1+G$15)^$A27-1)/G$15</f>
        <v/>
      </c>
      <c r="H27" s="15">
        <f>((1+H$15)^$A27-1)/H$15</f>
        <v/>
      </c>
      <c r="I27" s="15">
        <f>((1+I$15)^$A27-1)/I$15</f>
        <v/>
      </c>
      <c r="J27" s="15">
        <f>((1+J$15)^$A27-1)/J$15</f>
        <v/>
      </c>
      <c r="K27" s="15">
        <f>((1+K$15)^$A27-1)/K$15</f>
        <v/>
      </c>
    </row>
    <row r="28">
      <c r="A28" s="17" t="n">
        <v>13</v>
      </c>
      <c r="B28" s="15">
        <f>((1+B$15)^$A28-1)/B$15</f>
        <v/>
      </c>
      <c r="C28" s="15">
        <f>((1+C$15)^$A28-1)/C$15</f>
        <v/>
      </c>
      <c r="D28" s="15">
        <f>((1+D$15)^$A28-1)/D$15</f>
        <v/>
      </c>
      <c r="E28" s="15">
        <f>((1+E$15)^$A28-1)/E$15</f>
        <v/>
      </c>
      <c r="F28" s="15">
        <f>((1+F$15)^$A28-1)/F$15</f>
        <v/>
      </c>
      <c r="G28" s="15">
        <f>((1+G$15)^$A28-1)/G$15</f>
        <v/>
      </c>
      <c r="H28" s="15">
        <f>((1+H$15)^$A28-1)/H$15</f>
        <v/>
      </c>
      <c r="I28" s="15">
        <f>((1+I$15)^$A28-1)/I$15</f>
        <v/>
      </c>
      <c r="J28" s="15">
        <f>((1+J$15)^$A28-1)/J$15</f>
        <v/>
      </c>
      <c r="K28" s="15">
        <f>((1+K$15)^$A28-1)/K$15</f>
        <v/>
      </c>
    </row>
    <row r="29">
      <c r="A29" s="17" t="n">
        <v>14</v>
      </c>
      <c r="B29" s="15">
        <f>((1+B$15)^$A29-1)/B$15</f>
        <v/>
      </c>
      <c r="C29" s="15">
        <f>((1+C$15)^$A29-1)/C$15</f>
        <v/>
      </c>
      <c r="D29" s="15">
        <f>((1+D$15)^$A29-1)/D$15</f>
        <v/>
      </c>
      <c r="E29" s="15">
        <f>((1+E$15)^$A29-1)/E$15</f>
        <v/>
      </c>
      <c r="F29" s="15">
        <f>((1+F$15)^$A29-1)/F$15</f>
        <v/>
      </c>
      <c r="G29" s="15">
        <f>((1+G$15)^$A29-1)/G$15</f>
        <v/>
      </c>
      <c r="H29" s="15">
        <f>((1+H$15)^$A29-1)/H$15</f>
        <v/>
      </c>
      <c r="I29" s="15">
        <f>((1+I$15)^$A29-1)/I$15</f>
        <v/>
      </c>
      <c r="J29" s="15">
        <f>((1+J$15)^$A29-1)/J$15</f>
        <v/>
      </c>
      <c r="K29" s="15">
        <f>((1+K$15)^$A29-1)/K$15</f>
        <v/>
      </c>
    </row>
    <row r="30">
      <c r="A30" s="17" t="n">
        <v>15</v>
      </c>
      <c r="B30" s="15">
        <f>((1+B$15)^$A30-1)/B$15</f>
        <v/>
      </c>
      <c r="C30" s="15">
        <f>((1+C$15)^$A30-1)/C$15</f>
        <v/>
      </c>
      <c r="D30" s="15">
        <f>((1+D$15)^$A30-1)/D$15</f>
        <v/>
      </c>
      <c r="E30" s="15">
        <f>((1+E$15)^$A30-1)/E$15</f>
        <v/>
      </c>
      <c r="F30" s="15">
        <f>((1+F$15)^$A30-1)/F$15</f>
        <v/>
      </c>
      <c r="G30" s="15">
        <f>((1+G$15)^$A30-1)/G$15</f>
        <v/>
      </c>
      <c r="H30" s="15">
        <f>((1+H$15)^$A30-1)/H$15</f>
        <v/>
      </c>
      <c r="I30" s="15">
        <f>((1+I$15)^$A30-1)/I$15</f>
        <v/>
      </c>
      <c r="J30" s="15">
        <f>((1+J$15)^$A30-1)/J$15</f>
        <v/>
      </c>
      <c r="K30" s="15">
        <f>((1+K$15)^$A30-1)/K$15</f>
        <v/>
      </c>
    </row>
    <row r="31">
      <c r="A31" s="17" t="n">
        <v>16</v>
      </c>
      <c r="B31" s="15">
        <f>((1+B$15)^$A31-1)/B$15</f>
        <v/>
      </c>
      <c r="C31" s="15">
        <f>((1+C$15)^$A31-1)/C$15</f>
        <v/>
      </c>
      <c r="D31" s="15">
        <f>((1+D$15)^$A31-1)/D$15</f>
        <v/>
      </c>
      <c r="E31" s="15">
        <f>((1+E$15)^$A31-1)/E$15</f>
        <v/>
      </c>
      <c r="F31" s="15">
        <f>((1+F$15)^$A31-1)/F$15</f>
        <v/>
      </c>
      <c r="G31" s="15">
        <f>((1+G$15)^$A31-1)/G$15</f>
        <v/>
      </c>
      <c r="H31" s="15">
        <f>((1+H$15)^$A31-1)/H$15</f>
        <v/>
      </c>
      <c r="I31" s="15">
        <f>((1+I$15)^$A31-1)/I$15</f>
        <v/>
      </c>
      <c r="J31" s="15">
        <f>((1+J$15)^$A31-1)/J$15</f>
        <v/>
      </c>
      <c r="K31" s="15">
        <f>((1+K$15)^$A31-1)/K$15</f>
        <v/>
      </c>
    </row>
    <row r="32">
      <c r="A32" s="17" t="n">
        <v>17</v>
      </c>
      <c r="B32" s="15">
        <f>((1+B$15)^$A32-1)/B$15</f>
        <v/>
      </c>
      <c r="C32" s="15">
        <f>((1+C$15)^$A32-1)/C$15</f>
        <v/>
      </c>
      <c r="D32" s="15">
        <f>((1+D$15)^$A32-1)/D$15</f>
        <v/>
      </c>
      <c r="E32" s="15">
        <f>((1+E$15)^$A32-1)/E$15</f>
        <v/>
      </c>
      <c r="F32" s="15">
        <f>((1+F$15)^$A32-1)/F$15</f>
        <v/>
      </c>
      <c r="G32" s="15">
        <f>((1+G$15)^$A32-1)/G$15</f>
        <v/>
      </c>
      <c r="H32" s="15">
        <f>((1+H$15)^$A32-1)/H$15</f>
        <v/>
      </c>
      <c r="I32" s="15">
        <f>((1+I$15)^$A32-1)/I$15</f>
        <v/>
      </c>
      <c r="J32" s="15">
        <f>((1+J$15)^$A32-1)/J$15</f>
        <v/>
      </c>
      <c r="K32" s="15">
        <f>((1+K$15)^$A32-1)/K$15</f>
        <v/>
      </c>
    </row>
    <row r="33">
      <c r="A33" s="17" t="n">
        <v>18</v>
      </c>
      <c r="B33" s="15">
        <f>((1+B$15)^$A33-1)/B$15</f>
        <v/>
      </c>
      <c r="C33" s="15">
        <f>((1+C$15)^$A33-1)/C$15</f>
        <v/>
      </c>
      <c r="D33" s="15">
        <f>((1+D$15)^$A33-1)/D$15</f>
        <v/>
      </c>
      <c r="E33" s="15">
        <f>((1+E$15)^$A33-1)/E$15</f>
        <v/>
      </c>
      <c r="F33" s="15">
        <f>((1+F$15)^$A33-1)/F$15</f>
        <v/>
      </c>
      <c r="G33" s="15">
        <f>((1+G$15)^$A33-1)/G$15</f>
        <v/>
      </c>
      <c r="H33" s="15">
        <f>((1+H$15)^$A33-1)/H$15</f>
        <v/>
      </c>
      <c r="I33" s="15">
        <f>((1+I$15)^$A33-1)/I$15</f>
        <v/>
      </c>
      <c r="J33" s="15">
        <f>((1+J$15)^$A33-1)/J$15</f>
        <v/>
      </c>
      <c r="K33" s="15">
        <f>((1+K$15)^$A33-1)/K$15</f>
        <v/>
      </c>
    </row>
    <row r="34">
      <c r="A34" s="17" t="n">
        <v>19</v>
      </c>
      <c r="B34" s="15">
        <f>((1+B$15)^$A34-1)/B$15</f>
        <v/>
      </c>
      <c r="C34" s="15">
        <f>((1+C$15)^$A34-1)/C$15</f>
        <v/>
      </c>
      <c r="D34" s="15">
        <f>((1+D$15)^$A34-1)/D$15</f>
        <v/>
      </c>
      <c r="E34" s="15">
        <f>((1+E$15)^$A34-1)/E$15</f>
        <v/>
      </c>
      <c r="F34" s="15">
        <f>((1+F$15)^$A34-1)/F$15</f>
        <v/>
      </c>
      <c r="G34" s="15">
        <f>((1+G$15)^$A34-1)/G$15</f>
        <v/>
      </c>
      <c r="H34" s="15">
        <f>((1+H$15)^$A34-1)/H$15</f>
        <v/>
      </c>
      <c r="I34" s="15">
        <f>((1+I$15)^$A34-1)/I$15</f>
        <v/>
      </c>
      <c r="J34" s="15">
        <f>((1+J$15)^$A34-1)/J$15</f>
        <v/>
      </c>
      <c r="K34" s="15">
        <f>((1+K$15)^$A34-1)/K$15</f>
        <v/>
      </c>
    </row>
    <row r="35">
      <c r="A35" s="17" t="n">
        <v>20</v>
      </c>
      <c r="B35" s="15">
        <f>((1+B$15)^$A35-1)/B$15</f>
        <v/>
      </c>
      <c r="C35" s="15">
        <f>((1+C$15)^$A35-1)/C$15</f>
        <v/>
      </c>
      <c r="D35" s="15">
        <f>((1+D$15)^$A35-1)/D$15</f>
        <v/>
      </c>
      <c r="E35" s="15">
        <f>((1+E$15)^$A35-1)/E$15</f>
        <v/>
      </c>
      <c r="F35" s="15">
        <f>((1+F$15)^$A35-1)/F$15</f>
        <v/>
      </c>
      <c r="G35" s="15">
        <f>((1+G$15)^$A35-1)/G$15</f>
        <v/>
      </c>
      <c r="H35" s="15">
        <f>((1+H$15)^$A35-1)/H$15</f>
        <v/>
      </c>
      <c r="I35" s="15">
        <f>((1+I$15)^$A35-1)/I$15</f>
        <v/>
      </c>
      <c r="J35" s="15">
        <f>((1+J$15)^$A35-1)/J$15</f>
        <v/>
      </c>
      <c r="K35" s="15">
        <f>((1+K$15)^$A35-1)/K$15</f>
        <v/>
      </c>
    </row>
    <row r="36">
      <c r="A36" s="17" t="n">
        <v>21</v>
      </c>
      <c r="B36" s="15">
        <f>((1+B$15)^$A36-1)/B$15</f>
        <v/>
      </c>
      <c r="C36" s="15">
        <f>((1+C$15)^$A36-1)/C$15</f>
        <v/>
      </c>
      <c r="D36" s="15">
        <f>((1+D$15)^$A36-1)/D$15</f>
        <v/>
      </c>
      <c r="E36" s="15">
        <f>((1+E$15)^$A36-1)/E$15</f>
        <v/>
      </c>
      <c r="F36" s="15">
        <f>((1+F$15)^$A36-1)/F$15</f>
        <v/>
      </c>
      <c r="G36" s="15">
        <f>((1+G$15)^$A36-1)/G$15</f>
        <v/>
      </c>
      <c r="H36" s="15">
        <f>((1+H$15)^$A36-1)/H$15</f>
        <v/>
      </c>
      <c r="I36" s="15">
        <f>((1+I$15)^$A36-1)/I$15</f>
        <v/>
      </c>
      <c r="J36" s="15">
        <f>((1+J$15)^$A36-1)/J$15</f>
        <v/>
      </c>
      <c r="K36" s="15">
        <f>((1+K$15)^$A36-1)/K$15</f>
        <v/>
      </c>
    </row>
    <row r="37">
      <c r="A37" s="17" t="n">
        <v>22</v>
      </c>
      <c r="B37" s="15">
        <f>((1+B$15)^$A37-1)/B$15</f>
        <v/>
      </c>
      <c r="C37" s="15">
        <f>((1+C$15)^$A37-1)/C$15</f>
        <v/>
      </c>
      <c r="D37" s="15">
        <f>((1+D$15)^$A37-1)/D$15</f>
        <v/>
      </c>
      <c r="E37" s="15">
        <f>((1+E$15)^$A37-1)/E$15</f>
        <v/>
      </c>
      <c r="F37" s="15">
        <f>((1+F$15)^$A37-1)/F$15</f>
        <v/>
      </c>
      <c r="G37" s="15">
        <f>((1+G$15)^$A37-1)/G$15</f>
        <v/>
      </c>
      <c r="H37" s="15">
        <f>((1+H$15)^$A37-1)/H$15</f>
        <v/>
      </c>
      <c r="I37" s="15">
        <f>((1+I$15)^$A37-1)/I$15</f>
        <v/>
      </c>
      <c r="J37" s="15">
        <f>((1+J$15)^$A37-1)/J$15</f>
        <v/>
      </c>
      <c r="K37" s="15">
        <f>((1+K$15)^$A37-1)/K$15</f>
        <v/>
      </c>
    </row>
    <row r="38">
      <c r="A38" s="17" t="n">
        <v>23</v>
      </c>
      <c r="B38" s="15">
        <f>((1+B$15)^$A38-1)/B$15</f>
        <v/>
      </c>
      <c r="C38" s="15">
        <f>((1+C$15)^$A38-1)/C$15</f>
        <v/>
      </c>
      <c r="D38" s="15">
        <f>((1+D$15)^$A38-1)/D$15</f>
        <v/>
      </c>
      <c r="E38" s="15">
        <f>((1+E$15)^$A38-1)/E$15</f>
        <v/>
      </c>
      <c r="F38" s="15">
        <f>((1+F$15)^$A38-1)/F$15</f>
        <v/>
      </c>
      <c r="G38" s="15">
        <f>((1+G$15)^$A38-1)/G$15</f>
        <v/>
      </c>
      <c r="H38" s="15">
        <f>((1+H$15)^$A38-1)/H$15</f>
        <v/>
      </c>
      <c r="I38" s="15">
        <f>((1+I$15)^$A38-1)/I$15</f>
        <v/>
      </c>
      <c r="J38" s="15">
        <f>((1+J$15)^$A38-1)/J$15</f>
        <v/>
      </c>
      <c r="K38" s="15">
        <f>((1+K$15)^$A38-1)/K$15</f>
        <v/>
      </c>
    </row>
    <row r="39">
      <c r="A39" s="17" t="n">
        <v>24</v>
      </c>
      <c r="B39" s="15">
        <f>((1+B$15)^$A39-1)/B$15</f>
        <v/>
      </c>
      <c r="C39" s="15">
        <f>((1+C$15)^$A39-1)/C$15</f>
        <v/>
      </c>
      <c r="D39" s="15">
        <f>((1+D$15)^$A39-1)/D$15</f>
        <v/>
      </c>
      <c r="E39" s="15">
        <f>((1+E$15)^$A39-1)/E$15</f>
        <v/>
      </c>
      <c r="F39" s="15">
        <f>((1+F$15)^$A39-1)/F$15</f>
        <v/>
      </c>
      <c r="G39" s="15">
        <f>((1+G$15)^$A39-1)/G$15</f>
        <v/>
      </c>
      <c r="H39" s="15">
        <f>((1+H$15)^$A39-1)/H$15</f>
        <v/>
      </c>
      <c r="I39" s="15">
        <f>((1+I$15)^$A39-1)/I$15</f>
        <v/>
      </c>
      <c r="J39" s="15">
        <f>((1+J$15)^$A39-1)/J$15</f>
        <v/>
      </c>
      <c r="K39" s="15">
        <f>((1+K$15)^$A39-1)/K$15</f>
        <v/>
      </c>
    </row>
    <row r="40">
      <c r="A40" s="17" t="n">
        <v>25</v>
      </c>
      <c r="B40" s="15">
        <f>((1+B$15)^$A40-1)/B$15</f>
        <v/>
      </c>
      <c r="C40" s="15">
        <f>((1+C$15)^$A40-1)/C$15</f>
        <v/>
      </c>
      <c r="D40" s="15">
        <f>((1+D$15)^$A40-1)/D$15</f>
        <v/>
      </c>
      <c r="E40" s="15">
        <f>((1+E$15)^$A40-1)/E$15</f>
        <v/>
      </c>
      <c r="F40" s="15">
        <f>((1+F$15)^$A40-1)/F$15</f>
        <v/>
      </c>
      <c r="G40" s="15">
        <f>((1+G$15)^$A40-1)/G$15</f>
        <v/>
      </c>
      <c r="H40" s="15">
        <f>((1+H$15)^$A40-1)/H$15</f>
        <v/>
      </c>
      <c r="I40" s="15">
        <f>((1+I$15)^$A40-1)/I$15</f>
        <v/>
      </c>
      <c r="J40" s="15">
        <f>((1+J$15)^$A40-1)/J$15</f>
        <v/>
      </c>
      <c r="K40" s="15">
        <f>((1+K$15)^$A40-1)/K$15</f>
        <v/>
      </c>
    </row>
    <row r="41">
      <c r="A41" s="17" t="n">
        <v>26</v>
      </c>
      <c r="B41" s="15">
        <f>((1+B$15)^$A41-1)/B$15</f>
        <v/>
      </c>
      <c r="C41" s="15">
        <f>((1+C$15)^$A41-1)/C$15</f>
        <v/>
      </c>
      <c r="D41" s="15">
        <f>((1+D$15)^$A41-1)/D$15</f>
        <v/>
      </c>
      <c r="E41" s="15">
        <f>((1+E$15)^$A41-1)/E$15</f>
        <v/>
      </c>
      <c r="F41" s="15">
        <f>((1+F$15)^$A41-1)/F$15</f>
        <v/>
      </c>
      <c r="G41" s="15">
        <f>((1+G$15)^$A41-1)/G$15</f>
        <v/>
      </c>
      <c r="H41" s="15">
        <f>((1+H$15)^$A41-1)/H$15</f>
        <v/>
      </c>
      <c r="I41" s="15">
        <f>((1+I$15)^$A41-1)/I$15</f>
        <v/>
      </c>
      <c r="J41" s="15">
        <f>((1+J$15)^$A41-1)/J$15</f>
        <v/>
      </c>
      <c r="K41" s="15">
        <f>((1+K$15)^$A41-1)/K$15</f>
        <v/>
      </c>
    </row>
    <row r="42">
      <c r="A42" s="17" t="n">
        <v>27</v>
      </c>
      <c r="B42" s="15">
        <f>((1+B$15)^$A42-1)/B$15</f>
        <v/>
      </c>
      <c r="C42" s="15">
        <f>((1+C$15)^$A42-1)/C$15</f>
        <v/>
      </c>
      <c r="D42" s="15">
        <f>((1+D$15)^$A42-1)/D$15</f>
        <v/>
      </c>
      <c r="E42" s="15">
        <f>((1+E$15)^$A42-1)/E$15</f>
        <v/>
      </c>
      <c r="F42" s="15">
        <f>((1+F$15)^$A42-1)/F$15</f>
        <v/>
      </c>
      <c r="G42" s="15">
        <f>((1+G$15)^$A42-1)/G$15</f>
        <v/>
      </c>
      <c r="H42" s="15">
        <f>((1+H$15)^$A42-1)/H$15</f>
        <v/>
      </c>
      <c r="I42" s="15">
        <f>((1+I$15)^$A42-1)/I$15</f>
        <v/>
      </c>
      <c r="J42" s="15">
        <f>((1+J$15)^$A42-1)/J$15</f>
        <v/>
      </c>
      <c r="K42" s="15">
        <f>((1+K$15)^$A42-1)/K$15</f>
        <v/>
      </c>
    </row>
    <row r="43">
      <c r="A43" s="17" t="n">
        <v>28</v>
      </c>
      <c r="B43" s="15">
        <f>((1+B$15)^$A43-1)/B$15</f>
        <v/>
      </c>
      <c r="C43" s="15">
        <f>((1+C$15)^$A43-1)/C$15</f>
        <v/>
      </c>
      <c r="D43" s="15">
        <f>((1+D$15)^$A43-1)/D$15</f>
        <v/>
      </c>
      <c r="E43" s="15">
        <f>((1+E$15)^$A43-1)/E$15</f>
        <v/>
      </c>
      <c r="F43" s="15">
        <f>((1+F$15)^$A43-1)/F$15</f>
        <v/>
      </c>
      <c r="G43" s="15">
        <f>((1+G$15)^$A43-1)/G$15</f>
        <v/>
      </c>
      <c r="H43" s="15">
        <f>((1+H$15)^$A43-1)/H$15</f>
        <v/>
      </c>
      <c r="I43" s="15">
        <f>((1+I$15)^$A43-1)/I$15</f>
        <v/>
      </c>
      <c r="J43" s="15">
        <f>((1+J$15)^$A43-1)/J$15</f>
        <v/>
      </c>
      <c r="K43" s="15">
        <f>((1+K$15)^$A43-1)/K$15</f>
        <v/>
      </c>
    </row>
    <row r="44">
      <c r="A44" s="17" t="n">
        <v>29</v>
      </c>
      <c r="B44" s="15">
        <f>((1+B$15)^$A44-1)/B$15</f>
        <v/>
      </c>
      <c r="C44" s="15">
        <f>((1+C$15)^$A44-1)/C$15</f>
        <v/>
      </c>
      <c r="D44" s="15">
        <f>((1+D$15)^$A44-1)/D$15</f>
        <v/>
      </c>
      <c r="E44" s="15">
        <f>((1+E$15)^$A44-1)/E$15</f>
        <v/>
      </c>
      <c r="F44" s="15">
        <f>((1+F$15)^$A44-1)/F$15</f>
        <v/>
      </c>
      <c r="G44" s="15">
        <f>((1+G$15)^$A44-1)/G$15</f>
        <v/>
      </c>
      <c r="H44" s="15">
        <f>((1+H$15)^$A44-1)/H$15</f>
        <v/>
      </c>
      <c r="I44" s="15">
        <f>((1+I$15)^$A44-1)/I$15</f>
        <v/>
      </c>
      <c r="J44" s="15">
        <f>((1+J$15)^$A44-1)/J$15</f>
        <v/>
      </c>
      <c r="K44" s="15">
        <f>((1+K$15)^$A44-1)/K$15</f>
        <v/>
      </c>
    </row>
    <row r="45">
      <c r="A45" s="17" t="n">
        <v>30</v>
      </c>
      <c r="B45" s="15">
        <f>((1+B$15)^$A45-1)/B$15</f>
        <v/>
      </c>
      <c r="C45" s="15">
        <f>((1+C$15)^$A45-1)/C$15</f>
        <v/>
      </c>
      <c r="D45" s="15">
        <f>((1+D$15)^$A45-1)/D$15</f>
        <v/>
      </c>
      <c r="E45" s="15">
        <f>((1+E$15)^$A45-1)/E$15</f>
        <v/>
      </c>
      <c r="F45" s="15">
        <f>((1+F$15)^$A45-1)/F$15</f>
        <v/>
      </c>
      <c r="G45" s="15">
        <f>((1+G$15)^$A45-1)/G$15</f>
        <v/>
      </c>
      <c r="H45" s="15">
        <f>((1+H$15)^$A45-1)/H$15</f>
        <v/>
      </c>
      <c r="I45" s="15">
        <f>((1+I$15)^$A45-1)/I$15</f>
        <v/>
      </c>
      <c r="J45" s="15">
        <f>((1+J$15)^$A45-1)/J$15</f>
        <v/>
      </c>
      <c r="K45" s="15">
        <f>((1+K$15)^$A45-1)/K$15</f>
        <v/>
      </c>
    </row>
    <row r="48">
      <c r="A48" s="3" t="inlineStr">
        <is>
          <t>Present value interest factors</t>
        </is>
      </c>
    </row>
    <row r="49" ht="15" customHeight="1">
      <c r="A49" s="7" t="inlineStr">
        <is>
          <t>Periods, n</t>
        </is>
      </c>
      <c r="B49" s="16" t="n">
        <v>0.01</v>
      </c>
      <c r="C49" s="16" t="n">
        <v>0.02</v>
      </c>
      <c r="D49" s="16" t="n">
        <v>0.03</v>
      </c>
      <c r="E49" s="16" t="n">
        <v>0.04</v>
      </c>
      <c r="F49" s="16" t="n">
        <v>0.05</v>
      </c>
      <c r="G49" s="16" t="n">
        <v>0.06</v>
      </c>
      <c r="H49" s="16" t="n">
        <v>0.07000000000000001</v>
      </c>
      <c r="I49" s="16" t="n">
        <v>0.08</v>
      </c>
      <c r="J49" s="16" t="n">
        <v>0.09</v>
      </c>
      <c r="K49" s="16" t="n">
        <v>0.1</v>
      </c>
    </row>
    <row r="50">
      <c r="A50" s="17" t="n">
        <v>1</v>
      </c>
      <c r="B50" s="15">
        <f>(1-(1+B$49)^-$A50)/B$49</f>
        <v/>
      </c>
      <c r="C50" s="15">
        <f>(1-(1+C$49)^-$A50)/C$49</f>
        <v/>
      </c>
      <c r="D50" s="15">
        <f>(1-(1+D$49)^-$A50)/D$49</f>
        <v/>
      </c>
      <c r="E50" s="15">
        <f>(1-(1+E$49)^-$A50)/E$49</f>
        <v/>
      </c>
      <c r="F50" s="15">
        <f>(1-(1+F$49)^-$A50)/F$49</f>
        <v/>
      </c>
      <c r="G50" s="15">
        <f>(1-(1+G$49)^-$A50)/G$49</f>
        <v/>
      </c>
      <c r="H50" s="15">
        <f>(1-(1+H$49)^-$A50)/H$49</f>
        <v/>
      </c>
      <c r="I50" s="15">
        <f>(1-(1+I$49)^-$A50)/I$49</f>
        <v/>
      </c>
      <c r="J50" s="15">
        <f>(1-(1+J$49)^-$A50)/J$49</f>
        <v/>
      </c>
      <c r="K50" s="15">
        <f>(1-(1+K$49)^-$A50)/K$49</f>
        <v/>
      </c>
    </row>
    <row r="51">
      <c r="A51" s="17" t="n">
        <v>2</v>
      </c>
      <c r="B51" s="15">
        <f>(1-(1+B$49)^-$A51)/B$49</f>
        <v/>
      </c>
      <c r="C51" s="15">
        <f>(1-(1+C$49)^-$A51)/C$49</f>
        <v/>
      </c>
      <c r="D51" s="15">
        <f>(1-(1+D$49)^-$A51)/D$49</f>
        <v/>
      </c>
      <c r="E51" s="15">
        <f>(1-(1+E$49)^-$A51)/E$49</f>
        <v/>
      </c>
      <c r="F51" s="15">
        <f>(1-(1+F$49)^-$A51)/F$49</f>
        <v/>
      </c>
      <c r="G51" s="15">
        <f>(1-(1+G$49)^-$A51)/G$49</f>
        <v/>
      </c>
      <c r="H51" s="15">
        <f>(1-(1+H$49)^-$A51)/H$49</f>
        <v/>
      </c>
      <c r="I51" s="15">
        <f>(1-(1+I$49)^-$A51)/I$49</f>
        <v/>
      </c>
      <c r="J51" s="15">
        <f>(1-(1+J$49)^-$A51)/J$49</f>
        <v/>
      </c>
      <c r="K51" s="15">
        <f>(1-(1+K$49)^-$A51)/K$49</f>
        <v/>
      </c>
    </row>
    <row r="52">
      <c r="A52" s="17" t="n">
        <v>3</v>
      </c>
      <c r="B52" s="15">
        <f>(1-(1+B$49)^-$A52)/B$49</f>
        <v/>
      </c>
      <c r="C52" s="15">
        <f>(1-(1+C$49)^-$A52)/C$49</f>
        <v/>
      </c>
      <c r="D52" s="15">
        <f>(1-(1+D$49)^-$A52)/D$49</f>
        <v/>
      </c>
      <c r="E52" s="15">
        <f>(1-(1+E$49)^-$A52)/E$49</f>
        <v/>
      </c>
      <c r="F52" s="15">
        <f>(1-(1+F$49)^-$A52)/F$49</f>
        <v/>
      </c>
      <c r="G52" s="15">
        <f>(1-(1+G$49)^-$A52)/G$49</f>
        <v/>
      </c>
      <c r="H52" s="15">
        <f>(1-(1+H$49)^-$A52)/H$49</f>
        <v/>
      </c>
      <c r="I52" s="15">
        <f>(1-(1+I$49)^-$A52)/I$49</f>
        <v/>
      </c>
      <c r="J52" s="15">
        <f>(1-(1+J$49)^-$A52)/J$49</f>
        <v/>
      </c>
      <c r="K52" s="15">
        <f>(1-(1+K$49)^-$A52)/K$49</f>
        <v/>
      </c>
    </row>
    <row r="53">
      <c r="A53" s="17" t="n">
        <v>4</v>
      </c>
      <c r="B53" s="15">
        <f>(1-(1+B$49)^-$A53)/B$49</f>
        <v/>
      </c>
      <c r="C53" s="15">
        <f>(1-(1+C$49)^-$A53)/C$49</f>
        <v/>
      </c>
      <c r="D53" s="15">
        <f>(1-(1+D$49)^-$A53)/D$49</f>
        <v/>
      </c>
      <c r="E53" s="15">
        <f>(1-(1+E$49)^-$A53)/E$49</f>
        <v/>
      </c>
      <c r="F53" s="15">
        <f>(1-(1+F$49)^-$A53)/F$49</f>
        <v/>
      </c>
      <c r="G53" s="15">
        <f>(1-(1+G$49)^-$A53)/G$49</f>
        <v/>
      </c>
      <c r="H53" s="15">
        <f>(1-(1+H$49)^-$A53)/H$49</f>
        <v/>
      </c>
      <c r="I53" s="15">
        <f>(1-(1+I$49)^-$A53)/I$49</f>
        <v/>
      </c>
      <c r="J53" s="15">
        <f>(1-(1+J$49)^-$A53)/J$49</f>
        <v/>
      </c>
      <c r="K53" s="15">
        <f>(1-(1+K$49)^-$A53)/K$49</f>
        <v/>
      </c>
    </row>
    <row r="54">
      <c r="A54" s="17" t="n">
        <v>5</v>
      </c>
      <c r="B54" s="15">
        <f>(1-(1+B$49)^-$A54)/B$49</f>
        <v/>
      </c>
      <c r="C54" s="15">
        <f>(1-(1+C$49)^-$A54)/C$49</f>
        <v/>
      </c>
      <c r="D54" s="15">
        <f>(1-(1+D$49)^-$A54)/D$49</f>
        <v/>
      </c>
      <c r="E54" s="15">
        <f>(1-(1+E$49)^-$A54)/E$49</f>
        <v/>
      </c>
      <c r="F54" s="15">
        <f>(1-(1+F$49)^-$A54)/F$49</f>
        <v/>
      </c>
      <c r="G54" s="15">
        <f>(1-(1+G$49)^-$A54)/G$49</f>
        <v/>
      </c>
      <c r="H54" s="15">
        <f>(1-(1+H$49)^-$A54)/H$49</f>
        <v/>
      </c>
      <c r="I54" s="15">
        <f>(1-(1+I$49)^-$A54)/I$49</f>
        <v/>
      </c>
      <c r="J54" s="15">
        <f>(1-(1+J$49)^-$A54)/J$49</f>
        <v/>
      </c>
      <c r="K54" s="15">
        <f>(1-(1+K$49)^-$A54)/K$49</f>
        <v/>
      </c>
    </row>
    <row r="55">
      <c r="A55" s="17" t="n">
        <v>6</v>
      </c>
      <c r="B55" s="15">
        <f>(1-(1+B$49)^-$A55)/B$49</f>
        <v/>
      </c>
      <c r="C55" s="15">
        <f>(1-(1+C$49)^-$A55)/C$49</f>
        <v/>
      </c>
      <c r="D55" s="15">
        <f>(1-(1+D$49)^-$A55)/D$49</f>
        <v/>
      </c>
      <c r="E55" s="15">
        <f>(1-(1+E$49)^-$A55)/E$49</f>
        <v/>
      </c>
      <c r="F55" s="15">
        <f>(1-(1+F$49)^-$A55)/F$49</f>
        <v/>
      </c>
      <c r="G55" s="15">
        <f>(1-(1+G$49)^-$A55)/G$49</f>
        <v/>
      </c>
      <c r="H55" s="15">
        <f>(1-(1+H$49)^-$A55)/H$49</f>
        <v/>
      </c>
      <c r="I55" s="15">
        <f>(1-(1+I$49)^-$A55)/I$49</f>
        <v/>
      </c>
      <c r="J55" s="15">
        <f>(1-(1+J$49)^-$A55)/J$49</f>
        <v/>
      </c>
      <c r="K55" s="15">
        <f>(1-(1+K$49)^-$A55)/K$49</f>
        <v/>
      </c>
    </row>
    <row r="56">
      <c r="A56" s="17" t="n">
        <v>7</v>
      </c>
      <c r="B56" s="15">
        <f>(1-(1+B$49)^-$A56)/B$49</f>
        <v/>
      </c>
      <c r="C56" s="15">
        <f>(1-(1+C$49)^-$A56)/C$49</f>
        <v/>
      </c>
      <c r="D56" s="15">
        <f>(1-(1+D$49)^-$A56)/D$49</f>
        <v/>
      </c>
      <c r="E56" s="15">
        <f>(1-(1+E$49)^-$A56)/E$49</f>
        <v/>
      </c>
      <c r="F56" s="15">
        <f>(1-(1+F$49)^-$A56)/F$49</f>
        <v/>
      </c>
      <c r="G56" s="15">
        <f>(1-(1+G$49)^-$A56)/G$49</f>
        <v/>
      </c>
      <c r="H56" s="15">
        <f>(1-(1+H$49)^-$A56)/H$49</f>
        <v/>
      </c>
      <c r="I56" s="15">
        <f>(1-(1+I$49)^-$A56)/I$49</f>
        <v/>
      </c>
      <c r="J56" s="15">
        <f>(1-(1+J$49)^-$A56)/J$49</f>
        <v/>
      </c>
      <c r="K56" s="15">
        <f>(1-(1+K$49)^-$A56)/K$49</f>
        <v/>
      </c>
    </row>
    <row r="57">
      <c r="A57" s="17" t="n">
        <v>8</v>
      </c>
      <c r="B57" s="15">
        <f>(1-(1+B$49)^-$A57)/B$49</f>
        <v/>
      </c>
      <c r="C57" s="15">
        <f>(1-(1+C$49)^-$A57)/C$49</f>
        <v/>
      </c>
      <c r="D57" s="15">
        <f>(1-(1+D$49)^-$A57)/D$49</f>
        <v/>
      </c>
      <c r="E57" s="15">
        <f>(1-(1+E$49)^-$A57)/E$49</f>
        <v/>
      </c>
      <c r="F57" s="15">
        <f>(1-(1+F$49)^-$A57)/F$49</f>
        <v/>
      </c>
      <c r="G57" s="15">
        <f>(1-(1+G$49)^-$A57)/G$49</f>
        <v/>
      </c>
      <c r="H57" s="15">
        <f>(1-(1+H$49)^-$A57)/H$49</f>
        <v/>
      </c>
      <c r="I57" s="15">
        <f>(1-(1+I$49)^-$A57)/I$49</f>
        <v/>
      </c>
      <c r="J57" s="15">
        <f>(1-(1+J$49)^-$A57)/J$49</f>
        <v/>
      </c>
      <c r="K57" s="15">
        <f>(1-(1+K$49)^-$A57)/K$49</f>
        <v/>
      </c>
    </row>
    <row r="58">
      <c r="A58" s="17" t="n">
        <v>9</v>
      </c>
      <c r="B58" s="15">
        <f>(1-(1+B$49)^-$A58)/B$49</f>
        <v/>
      </c>
      <c r="C58" s="15">
        <f>(1-(1+C$49)^-$A58)/C$49</f>
        <v/>
      </c>
      <c r="D58" s="15">
        <f>(1-(1+D$49)^-$A58)/D$49</f>
        <v/>
      </c>
      <c r="E58" s="15">
        <f>(1-(1+E$49)^-$A58)/E$49</f>
        <v/>
      </c>
      <c r="F58" s="15">
        <f>(1-(1+F$49)^-$A58)/F$49</f>
        <v/>
      </c>
      <c r="G58" s="15">
        <f>(1-(1+G$49)^-$A58)/G$49</f>
        <v/>
      </c>
      <c r="H58" s="15">
        <f>(1-(1+H$49)^-$A58)/H$49</f>
        <v/>
      </c>
      <c r="I58" s="15">
        <f>(1-(1+I$49)^-$A58)/I$49</f>
        <v/>
      </c>
      <c r="J58" s="15">
        <f>(1-(1+J$49)^-$A58)/J$49</f>
        <v/>
      </c>
      <c r="K58" s="15">
        <f>(1-(1+K$49)^-$A58)/K$49</f>
        <v/>
      </c>
    </row>
    <row r="59">
      <c r="A59" s="17" t="n">
        <v>10</v>
      </c>
      <c r="B59" s="15">
        <f>(1-(1+B$49)^-$A59)/B$49</f>
        <v/>
      </c>
      <c r="C59" s="15">
        <f>(1-(1+C$49)^-$A59)/C$49</f>
        <v/>
      </c>
      <c r="D59" s="15">
        <f>(1-(1+D$49)^-$A59)/D$49</f>
        <v/>
      </c>
      <c r="E59" s="15">
        <f>(1-(1+E$49)^-$A59)/E$49</f>
        <v/>
      </c>
      <c r="F59" s="15">
        <f>(1-(1+F$49)^-$A59)/F$49</f>
        <v/>
      </c>
      <c r="G59" s="15">
        <f>(1-(1+G$49)^-$A59)/G$49</f>
        <v/>
      </c>
      <c r="H59" s="15">
        <f>(1-(1+H$49)^-$A59)/H$49</f>
        <v/>
      </c>
      <c r="I59" s="15">
        <f>(1-(1+I$49)^-$A59)/I$49</f>
        <v/>
      </c>
      <c r="J59" s="15">
        <f>(1-(1+J$49)^-$A59)/J$49</f>
        <v/>
      </c>
      <c r="K59" s="15">
        <f>(1-(1+K$49)^-$A59)/K$49</f>
        <v/>
      </c>
    </row>
    <row r="60">
      <c r="A60" s="17" t="n">
        <v>11</v>
      </c>
      <c r="B60" s="15">
        <f>(1-(1+B$49)^-$A60)/B$49</f>
        <v/>
      </c>
      <c r="C60" s="15">
        <f>(1-(1+C$49)^-$A60)/C$49</f>
        <v/>
      </c>
      <c r="D60" s="15">
        <f>(1-(1+D$49)^-$A60)/D$49</f>
        <v/>
      </c>
      <c r="E60" s="15">
        <f>(1-(1+E$49)^-$A60)/E$49</f>
        <v/>
      </c>
      <c r="F60" s="15">
        <f>(1-(1+F$49)^-$A60)/F$49</f>
        <v/>
      </c>
      <c r="G60" s="15">
        <f>(1-(1+G$49)^-$A60)/G$49</f>
        <v/>
      </c>
      <c r="H60" s="15">
        <f>(1-(1+H$49)^-$A60)/H$49</f>
        <v/>
      </c>
      <c r="I60" s="15">
        <f>(1-(1+I$49)^-$A60)/I$49</f>
        <v/>
      </c>
      <c r="J60" s="15">
        <f>(1-(1+J$49)^-$A60)/J$49</f>
        <v/>
      </c>
      <c r="K60" s="15">
        <f>(1-(1+K$49)^-$A60)/K$49</f>
        <v/>
      </c>
    </row>
    <row r="61">
      <c r="A61" s="17" t="n">
        <v>12</v>
      </c>
      <c r="B61" s="15">
        <f>(1-(1+B$49)^-$A61)/B$49</f>
        <v/>
      </c>
      <c r="C61" s="15">
        <f>(1-(1+C$49)^-$A61)/C$49</f>
        <v/>
      </c>
      <c r="D61" s="15">
        <f>(1-(1+D$49)^-$A61)/D$49</f>
        <v/>
      </c>
      <c r="E61" s="15">
        <f>(1-(1+E$49)^-$A61)/E$49</f>
        <v/>
      </c>
      <c r="F61" s="15">
        <f>(1-(1+F$49)^-$A61)/F$49</f>
        <v/>
      </c>
      <c r="G61" s="15">
        <f>(1-(1+G$49)^-$A61)/G$49</f>
        <v/>
      </c>
      <c r="H61" s="15">
        <f>(1-(1+H$49)^-$A61)/H$49</f>
        <v/>
      </c>
      <c r="I61" s="15">
        <f>(1-(1+I$49)^-$A61)/I$49</f>
        <v/>
      </c>
      <c r="J61" s="15">
        <f>(1-(1+J$49)^-$A61)/J$49</f>
        <v/>
      </c>
      <c r="K61" s="15">
        <f>(1-(1+K$49)^-$A61)/K$49</f>
        <v/>
      </c>
    </row>
    <row r="62">
      <c r="A62" s="17" t="n">
        <v>13</v>
      </c>
      <c r="B62" s="15">
        <f>(1-(1+B$49)^-$A62)/B$49</f>
        <v/>
      </c>
      <c r="C62" s="15">
        <f>(1-(1+C$49)^-$A62)/C$49</f>
        <v/>
      </c>
      <c r="D62" s="15">
        <f>(1-(1+D$49)^-$A62)/D$49</f>
        <v/>
      </c>
      <c r="E62" s="15">
        <f>(1-(1+E$49)^-$A62)/E$49</f>
        <v/>
      </c>
      <c r="F62" s="15">
        <f>(1-(1+F$49)^-$A62)/F$49</f>
        <v/>
      </c>
      <c r="G62" s="15">
        <f>(1-(1+G$49)^-$A62)/G$49</f>
        <v/>
      </c>
      <c r="H62" s="15">
        <f>(1-(1+H$49)^-$A62)/H$49</f>
        <v/>
      </c>
      <c r="I62" s="15">
        <f>(1-(1+I$49)^-$A62)/I$49</f>
        <v/>
      </c>
      <c r="J62" s="15">
        <f>(1-(1+J$49)^-$A62)/J$49</f>
        <v/>
      </c>
      <c r="K62" s="15">
        <f>(1-(1+K$49)^-$A62)/K$49</f>
        <v/>
      </c>
    </row>
    <row r="63">
      <c r="A63" s="17" t="n">
        <v>14</v>
      </c>
      <c r="B63" s="15">
        <f>(1-(1+B$49)^-$A63)/B$49</f>
        <v/>
      </c>
      <c r="C63" s="15">
        <f>(1-(1+C$49)^-$A63)/C$49</f>
        <v/>
      </c>
      <c r="D63" s="15">
        <f>(1-(1+D$49)^-$A63)/D$49</f>
        <v/>
      </c>
      <c r="E63" s="15">
        <f>(1-(1+E$49)^-$A63)/E$49</f>
        <v/>
      </c>
      <c r="F63" s="15">
        <f>(1-(1+F$49)^-$A63)/F$49</f>
        <v/>
      </c>
      <c r="G63" s="15">
        <f>(1-(1+G$49)^-$A63)/G$49</f>
        <v/>
      </c>
      <c r="H63" s="15">
        <f>(1-(1+H$49)^-$A63)/H$49</f>
        <v/>
      </c>
      <c r="I63" s="15">
        <f>(1-(1+I$49)^-$A63)/I$49</f>
        <v/>
      </c>
      <c r="J63" s="15">
        <f>(1-(1+J$49)^-$A63)/J$49</f>
        <v/>
      </c>
      <c r="K63" s="15">
        <f>(1-(1+K$49)^-$A63)/K$49</f>
        <v/>
      </c>
    </row>
    <row r="64">
      <c r="A64" s="17" t="n">
        <v>15</v>
      </c>
      <c r="B64" s="15">
        <f>(1-(1+B$49)^-$A64)/B$49</f>
        <v/>
      </c>
      <c r="C64" s="15">
        <f>(1-(1+C$49)^-$A64)/C$49</f>
        <v/>
      </c>
      <c r="D64" s="15">
        <f>(1-(1+D$49)^-$A64)/D$49</f>
        <v/>
      </c>
      <c r="E64" s="15">
        <f>(1-(1+E$49)^-$A64)/E$49</f>
        <v/>
      </c>
      <c r="F64" s="15">
        <f>(1-(1+F$49)^-$A64)/F$49</f>
        <v/>
      </c>
      <c r="G64" s="15">
        <f>(1-(1+G$49)^-$A64)/G$49</f>
        <v/>
      </c>
      <c r="H64" s="15">
        <f>(1-(1+H$49)^-$A64)/H$49</f>
        <v/>
      </c>
      <c r="I64" s="15">
        <f>(1-(1+I$49)^-$A64)/I$49</f>
        <v/>
      </c>
      <c r="J64" s="15">
        <f>(1-(1+J$49)^-$A64)/J$49</f>
        <v/>
      </c>
      <c r="K64" s="15">
        <f>(1-(1+K$49)^-$A64)/K$49</f>
        <v/>
      </c>
    </row>
    <row r="65">
      <c r="A65" s="17" t="n">
        <v>16</v>
      </c>
      <c r="B65" s="15">
        <f>(1-(1+B$49)^-$A65)/B$49</f>
        <v/>
      </c>
      <c r="C65" s="15">
        <f>(1-(1+C$49)^-$A65)/C$49</f>
        <v/>
      </c>
      <c r="D65" s="15">
        <f>(1-(1+D$49)^-$A65)/D$49</f>
        <v/>
      </c>
      <c r="E65" s="15">
        <f>(1-(1+E$49)^-$A65)/E$49</f>
        <v/>
      </c>
      <c r="F65" s="15">
        <f>(1-(1+F$49)^-$A65)/F$49</f>
        <v/>
      </c>
      <c r="G65" s="15">
        <f>(1-(1+G$49)^-$A65)/G$49</f>
        <v/>
      </c>
      <c r="H65" s="15">
        <f>(1-(1+H$49)^-$A65)/H$49</f>
        <v/>
      </c>
      <c r="I65" s="15">
        <f>(1-(1+I$49)^-$A65)/I$49</f>
        <v/>
      </c>
      <c r="J65" s="15">
        <f>(1-(1+J$49)^-$A65)/J$49</f>
        <v/>
      </c>
      <c r="K65" s="15">
        <f>(1-(1+K$49)^-$A65)/K$49</f>
        <v/>
      </c>
    </row>
    <row r="66">
      <c r="A66" s="17" t="n">
        <v>17</v>
      </c>
      <c r="B66" s="15">
        <f>(1-(1+B$49)^-$A66)/B$49</f>
        <v/>
      </c>
      <c r="C66" s="15">
        <f>(1-(1+C$49)^-$A66)/C$49</f>
        <v/>
      </c>
      <c r="D66" s="15">
        <f>(1-(1+D$49)^-$A66)/D$49</f>
        <v/>
      </c>
      <c r="E66" s="15">
        <f>(1-(1+E$49)^-$A66)/E$49</f>
        <v/>
      </c>
      <c r="F66" s="15">
        <f>(1-(1+F$49)^-$A66)/F$49</f>
        <v/>
      </c>
      <c r="G66" s="15">
        <f>(1-(1+G$49)^-$A66)/G$49</f>
        <v/>
      </c>
      <c r="H66" s="15">
        <f>(1-(1+H$49)^-$A66)/H$49</f>
        <v/>
      </c>
      <c r="I66" s="15">
        <f>(1-(1+I$49)^-$A66)/I$49</f>
        <v/>
      </c>
      <c r="J66" s="15">
        <f>(1-(1+J$49)^-$A66)/J$49</f>
        <v/>
      </c>
      <c r="K66" s="15">
        <f>(1-(1+K$49)^-$A66)/K$49</f>
        <v/>
      </c>
    </row>
    <row r="67">
      <c r="A67" s="17" t="n">
        <v>18</v>
      </c>
      <c r="B67" s="15">
        <f>(1-(1+B$49)^-$A67)/B$49</f>
        <v/>
      </c>
      <c r="C67" s="15">
        <f>(1-(1+C$49)^-$A67)/C$49</f>
        <v/>
      </c>
      <c r="D67" s="15">
        <f>(1-(1+D$49)^-$A67)/D$49</f>
        <v/>
      </c>
      <c r="E67" s="15">
        <f>(1-(1+E$49)^-$A67)/E$49</f>
        <v/>
      </c>
      <c r="F67" s="15">
        <f>(1-(1+F$49)^-$A67)/F$49</f>
        <v/>
      </c>
      <c r="G67" s="15">
        <f>(1-(1+G$49)^-$A67)/G$49</f>
        <v/>
      </c>
      <c r="H67" s="15">
        <f>(1-(1+H$49)^-$A67)/H$49</f>
        <v/>
      </c>
      <c r="I67" s="15">
        <f>(1-(1+I$49)^-$A67)/I$49</f>
        <v/>
      </c>
      <c r="J67" s="15">
        <f>(1-(1+J$49)^-$A67)/J$49</f>
        <v/>
      </c>
      <c r="K67" s="15">
        <f>(1-(1+K$49)^-$A67)/K$49</f>
        <v/>
      </c>
    </row>
    <row r="68">
      <c r="A68" s="17" t="n">
        <v>19</v>
      </c>
      <c r="B68" s="15">
        <f>(1-(1+B$49)^-$A68)/B$49</f>
        <v/>
      </c>
      <c r="C68" s="15">
        <f>(1-(1+C$49)^-$A68)/C$49</f>
        <v/>
      </c>
      <c r="D68" s="15">
        <f>(1-(1+D$49)^-$A68)/D$49</f>
        <v/>
      </c>
      <c r="E68" s="15">
        <f>(1-(1+E$49)^-$A68)/E$49</f>
        <v/>
      </c>
      <c r="F68" s="15">
        <f>(1-(1+F$49)^-$A68)/F$49</f>
        <v/>
      </c>
      <c r="G68" s="15">
        <f>(1-(1+G$49)^-$A68)/G$49</f>
        <v/>
      </c>
      <c r="H68" s="15">
        <f>(1-(1+H$49)^-$A68)/H$49</f>
        <v/>
      </c>
      <c r="I68" s="15">
        <f>(1-(1+I$49)^-$A68)/I$49</f>
        <v/>
      </c>
      <c r="J68" s="15">
        <f>(1-(1+J$49)^-$A68)/J$49</f>
        <v/>
      </c>
      <c r="K68" s="15">
        <f>(1-(1+K$49)^-$A68)/K$49</f>
        <v/>
      </c>
    </row>
    <row r="69">
      <c r="A69" s="17" t="n">
        <v>20</v>
      </c>
      <c r="B69" s="15">
        <f>(1-(1+B$49)^-$A69)/B$49</f>
        <v/>
      </c>
      <c r="C69" s="15">
        <f>(1-(1+C$49)^-$A69)/C$49</f>
        <v/>
      </c>
      <c r="D69" s="15">
        <f>(1-(1+D$49)^-$A69)/D$49</f>
        <v/>
      </c>
      <c r="E69" s="15">
        <f>(1-(1+E$49)^-$A69)/E$49</f>
        <v/>
      </c>
      <c r="F69" s="15">
        <f>(1-(1+F$49)^-$A69)/F$49</f>
        <v/>
      </c>
      <c r="G69" s="15">
        <f>(1-(1+G$49)^-$A69)/G$49</f>
        <v/>
      </c>
      <c r="H69" s="15">
        <f>(1-(1+H$49)^-$A69)/H$49</f>
        <v/>
      </c>
      <c r="I69" s="15">
        <f>(1-(1+I$49)^-$A69)/I$49</f>
        <v/>
      </c>
      <c r="J69" s="15">
        <f>(1-(1+J$49)^-$A69)/J$49</f>
        <v/>
      </c>
      <c r="K69" s="15">
        <f>(1-(1+K$49)^-$A69)/K$49</f>
        <v/>
      </c>
    </row>
    <row r="70">
      <c r="A70" s="17" t="n">
        <v>21</v>
      </c>
      <c r="B70" s="15">
        <f>(1-(1+B$49)^-$A70)/B$49</f>
        <v/>
      </c>
      <c r="C70" s="15">
        <f>(1-(1+C$49)^-$A70)/C$49</f>
        <v/>
      </c>
      <c r="D70" s="15">
        <f>(1-(1+D$49)^-$A70)/D$49</f>
        <v/>
      </c>
      <c r="E70" s="15">
        <f>(1-(1+E$49)^-$A70)/E$49</f>
        <v/>
      </c>
      <c r="F70" s="15">
        <f>(1-(1+F$49)^-$A70)/F$49</f>
        <v/>
      </c>
      <c r="G70" s="15">
        <f>(1-(1+G$49)^-$A70)/G$49</f>
        <v/>
      </c>
      <c r="H70" s="15">
        <f>(1-(1+H$49)^-$A70)/H$49</f>
        <v/>
      </c>
      <c r="I70" s="15">
        <f>(1-(1+I$49)^-$A70)/I$49</f>
        <v/>
      </c>
      <c r="J70" s="15">
        <f>(1-(1+J$49)^-$A70)/J$49</f>
        <v/>
      </c>
      <c r="K70" s="15">
        <f>(1-(1+K$49)^-$A70)/K$49</f>
        <v/>
      </c>
    </row>
    <row r="71">
      <c r="A71" s="17" t="n">
        <v>22</v>
      </c>
      <c r="B71" s="15">
        <f>(1-(1+B$49)^-$A71)/B$49</f>
        <v/>
      </c>
      <c r="C71" s="15">
        <f>(1-(1+C$49)^-$A71)/C$49</f>
        <v/>
      </c>
      <c r="D71" s="15">
        <f>(1-(1+D$49)^-$A71)/D$49</f>
        <v/>
      </c>
      <c r="E71" s="15">
        <f>(1-(1+E$49)^-$A71)/E$49</f>
        <v/>
      </c>
      <c r="F71" s="15">
        <f>(1-(1+F$49)^-$A71)/F$49</f>
        <v/>
      </c>
      <c r="G71" s="15">
        <f>(1-(1+G$49)^-$A71)/G$49</f>
        <v/>
      </c>
      <c r="H71" s="15">
        <f>(1-(1+H$49)^-$A71)/H$49</f>
        <v/>
      </c>
      <c r="I71" s="15">
        <f>(1-(1+I$49)^-$A71)/I$49</f>
        <v/>
      </c>
      <c r="J71" s="15">
        <f>(1-(1+J$49)^-$A71)/J$49</f>
        <v/>
      </c>
      <c r="K71" s="15">
        <f>(1-(1+K$49)^-$A71)/K$49</f>
        <v/>
      </c>
    </row>
    <row r="72">
      <c r="A72" s="17" t="n">
        <v>23</v>
      </c>
      <c r="B72" s="15">
        <f>(1-(1+B$49)^-$A72)/B$49</f>
        <v/>
      </c>
      <c r="C72" s="15">
        <f>(1-(1+C$49)^-$A72)/C$49</f>
        <v/>
      </c>
      <c r="D72" s="15">
        <f>(1-(1+D$49)^-$A72)/D$49</f>
        <v/>
      </c>
      <c r="E72" s="15">
        <f>(1-(1+E$49)^-$A72)/E$49</f>
        <v/>
      </c>
      <c r="F72" s="15">
        <f>(1-(1+F$49)^-$A72)/F$49</f>
        <v/>
      </c>
      <c r="G72" s="15">
        <f>(1-(1+G$49)^-$A72)/G$49</f>
        <v/>
      </c>
      <c r="H72" s="15">
        <f>(1-(1+H$49)^-$A72)/H$49</f>
        <v/>
      </c>
      <c r="I72" s="15">
        <f>(1-(1+I$49)^-$A72)/I$49</f>
        <v/>
      </c>
      <c r="J72" s="15">
        <f>(1-(1+J$49)^-$A72)/J$49</f>
        <v/>
      </c>
      <c r="K72" s="15">
        <f>(1-(1+K$49)^-$A72)/K$49</f>
        <v/>
      </c>
    </row>
    <row r="73">
      <c r="A73" s="17" t="n">
        <v>24</v>
      </c>
      <c r="B73" s="15">
        <f>(1-(1+B$49)^-$A73)/B$49</f>
        <v/>
      </c>
      <c r="C73" s="15">
        <f>(1-(1+C$49)^-$A73)/C$49</f>
        <v/>
      </c>
      <c r="D73" s="15">
        <f>(1-(1+D$49)^-$A73)/D$49</f>
        <v/>
      </c>
      <c r="E73" s="15">
        <f>(1-(1+E$49)^-$A73)/E$49</f>
        <v/>
      </c>
      <c r="F73" s="15">
        <f>(1-(1+F$49)^-$A73)/F$49</f>
        <v/>
      </c>
      <c r="G73" s="15">
        <f>(1-(1+G$49)^-$A73)/G$49</f>
        <v/>
      </c>
      <c r="H73" s="15">
        <f>(1-(1+H$49)^-$A73)/H$49</f>
        <v/>
      </c>
      <c r="I73" s="15">
        <f>(1-(1+I$49)^-$A73)/I$49</f>
        <v/>
      </c>
      <c r="J73" s="15">
        <f>(1-(1+J$49)^-$A73)/J$49</f>
        <v/>
      </c>
      <c r="K73" s="15">
        <f>(1-(1+K$49)^-$A73)/K$49</f>
        <v/>
      </c>
    </row>
    <row r="74">
      <c r="A74" s="17" t="n">
        <v>25</v>
      </c>
      <c r="B74" s="15">
        <f>(1-(1+B$49)^-$A74)/B$49</f>
        <v/>
      </c>
      <c r="C74" s="15">
        <f>(1-(1+C$49)^-$A74)/C$49</f>
        <v/>
      </c>
      <c r="D74" s="15">
        <f>(1-(1+D$49)^-$A74)/D$49</f>
        <v/>
      </c>
      <c r="E74" s="15">
        <f>(1-(1+E$49)^-$A74)/E$49</f>
        <v/>
      </c>
      <c r="F74" s="15">
        <f>(1-(1+F$49)^-$A74)/F$49</f>
        <v/>
      </c>
      <c r="G74" s="15">
        <f>(1-(1+G$49)^-$A74)/G$49</f>
        <v/>
      </c>
      <c r="H74" s="15">
        <f>(1-(1+H$49)^-$A74)/H$49</f>
        <v/>
      </c>
      <c r="I74" s="15">
        <f>(1-(1+I$49)^-$A74)/I$49</f>
        <v/>
      </c>
      <c r="J74" s="15">
        <f>(1-(1+J$49)^-$A74)/J$49</f>
        <v/>
      </c>
      <c r="K74" s="15">
        <f>(1-(1+K$49)^-$A74)/K$49</f>
        <v/>
      </c>
    </row>
    <row r="75">
      <c r="A75" s="17" t="n">
        <v>26</v>
      </c>
      <c r="B75" s="15">
        <f>(1-(1+B$49)^-$A75)/B$49</f>
        <v/>
      </c>
      <c r="C75" s="15">
        <f>(1-(1+C$49)^-$A75)/C$49</f>
        <v/>
      </c>
      <c r="D75" s="15">
        <f>(1-(1+D$49)^-$A75)/D$49</f>
        <v/>
      </c>
      <c r="E75" s="15">
        <f>(1-(1+E$49)^-$A75)/E$49</f>
        <v/>
      </c>
      <c r="F75" s="15">
        <f>(1-(1+F$49)^-$A75)/F$49</f>
        <v/>
      </c>
      <c r="G75" s="15">
        <f>(1-(1+G$49)^-$A75)/G$49</f>
        <v/>
      </c>
      <c r="H75" s="15">
        <f>(1-(1+H$49)^-$A75)/H$49</f>
        <v/>
      </c>
      <c r="I75" s="15">
        <f>(1-(1+I$49)^-$A75)/I$49</f>
        <v/>
      </c>
      <c r="J75" s="15">
        <f>(1-(1+J$49)^-$A75)/J$49</f>
        <v/>
      </c>
      <c r="K75" s="15">
        <f>(1-(1+K$49)^-$A75)/K$49</f>
        <v/>
      </c>
    </row>
    <row r="76">
      <c r="A76" s="17" t="n">
        <v>27</v>
      </c>
      <c r="B76" s="15">
        <f>(1-(1+B$49)^-$A76)/B$49</f>
        <v/>
      </c>
      <c r="C76" s="15">
        <f>(1-(1+C$49)^-$A76)/C$49</f>
        <v/>
      </c>
      <c r="D76" s="15">
        <f>(1-(1+D$49)^-$A76)/D$49</f>
        <v/>
      </c>
      <c r="E76" s="15">
        <f>(1-(1+E$49)^-$A76)/E$49</f>
        <v/>
      </c>
      <c r="F76" s="15">
        <f>(1-(1+F$49)^-$A76)/F$49</f>
        <v/>
      </c>
      <c r="G76" s="15">
        <f>(1-(1+G$49)^-$A76)/G$49</f>
        <v/>
      </c>
      <c r="H76" s="15">
        <f>(1-(1+H$49)^-$A76)/H$49</f>
        <v/>
      </c>
      <c r="I76" s="15">
        <f>(1-(1+I$49)^-$A76)/I$49</f>
        <v/>
      </c>
      <c r="J76" s="15">
        <f>(1-(1+J$49)^-$A76)/J$49</f>
        <v/>
      </c>
      <c r="K76" s="15">
        <f>(1-(1+K$49)^-$A76)/K$49</f>
        <v/>
      </c>
    </row>
    <row r="77">
      <c r="A77" s="17" t="n">
        <v>28</v>
      </c>
      <c r="B77" s="15">
        <f>(1-(1+B$49)^-$A77)/B$49</f>
        <v/>
      </c>
      <c r="C77" s="15">
        <f>(1-(1+C$49)^-$A77)/C$49</f>
        <v/>
      </c>
      <c r="D77" s="15">
        <f>(1-(1+D$49)^-$A77)/D$49</f>
        <v/>
      </c>
      <c r="E77" s="15">
        <f>(1-(1+E$49)^-$A77)/E$49</f>
        <v/>
      </c>
      <c r="F77" s="15">
        <f>(1-(1+F$49)^-$A77)/F$49</f>
        <v/>
      </c>
      <c r="G77" s="15">
        <f>(1-(1+G$49)^-$A77)/G$49</f>
        <v/>
      </c>
      <c r="H77" s="15">
        <f>(1-(1+H$49)^-$A77)/H$49</f>
        <v/>
      </c>
      <c r="I77" s="15">
        <f>(1-(1+I$49)^-$A77)/I$49</f>
        <v/>
      </c>
      <c r="J77" s="15">
        <f>(1-(1+J$49)^-$A77)/J$49</f>
        <v/>
      </c>
      <c r="K77" s="15">
        <f>(1-(1+K$49)^-$A77)/K$49</f>
        <v/>
      </c>
    </row>
    <row r="78">
      <c r="A78" s="17" t="n">
        <v>29</v>
      </c>
      <c r="B78" s="15">
        <f>(1-(1+B$49)^-$A78)/B$49</f>
        <v/>
      </c>
      <c r="C78" s="15">
        <f>(1-(1+C$49)^-$A78)/C$49</f>
        <v/>
      </c>
      <c r="D78" s="15">
        <f>(1-(1+D$49)^-$A78)/D$49</f>
        <v/>
      </c>
      <c r="E78" s="15">
        <f>(1-(1+E$49)^-$A78)/E$49</f>
        <v/>
      </c>
      <c r="F78" s="15">
        <f>(1-(1+F$49)^-$A78)/F$49</f>
        <v/>
      </c>
      <c r="G78" s="15">
        <f>(1-(1+G$49)^-$A78)/G$49</f>
        <v/>
      </c>
      <c r="H78" s="15">
        <f>(1-(1+H$49)^-$A78)/H$49</f>
        <v/>
      </c>
      <c r="I78" s="15">
        <f>(1-(1+I$49)^-$A78)/I$49</f>
        <v/>
      </c>
      <c r="J78" s="15">
        <f>(1-(1+J$49)^-$A78)/J$49</f>
        <v/>
      </c>
      <c r="K78" s="15">
        <f>(1-(1+K$49)^-$A78)/K$49</f>
        <v/>
      </c>
    </row>
    <row r="79">
      <c r="A79" s="17" t="n">
        <v>30</v>
      </c>
      <c r="B79" s="15">
        <f>(1-(1+B$49)^-$A79)/B$49</f>
        <v/>
      </c>
      <c r="C79" s="15">
        <f>(1-(1+C$49)^-$A79)/C$49</f>
        <v/>
      </c>
      <c r="D79" s="15">
        <f>(1-(1+D$49)^-$A79)/D$49</f>
        <v/>
      </c>
      <c r="E79" s="15">
        <f>(1-(1+E$49)^-$A79)/E$49</f>
        <v/>
      </c>
      <c r="F79" s="15">
        <f>(1-(1+F$49)^-$A79)/F$49</f>
        <v/>
      </c>
      <c r="G79" s="15">
        <f>(1-(1+G$49)^-$A79)/G$49</f>
        <v/>
      </c>
      <c r="H79" s="15">
        <f>(1-(1+H$49)^-$A79)/H$49</f>
        <v/>
      </c>
      <c r="I79" s="15">
        <f>(1-(1+I$49)^-$A79)/I$49</f>
        <v/>
      </c>
      <c r="J79" s="15">
        <f>(1-(1+J$49)^-$A79)/J$49</f>
        <v/>
      </c>
      <c r="K79" s="15">
        <f>(1-(1+K$49)^-$A79)/K$49</f>
        <v/>
      </c>
    </row>
  </sheetData>
  <mergeCells count="12">
    <mergeCell ref="A2:V2"/>
    <mergeCell ref="M8:V10"/>
    <mergeCell ref="M22:V22"/>
    <mergeCell ref="A1:V1"/>
    <mergeCell ref="M5:V6"/>
    <mergeCell ref="M13:V13"/>
    <mergeCell ref="M7:V7"/>
    <mergeCell ref="M14:V15"/>
    <mergeCell ref="M20:V20"/>
    <mergeCell ref="M21:V21"/>
    <mergeCell ref="M18:V19"/>
    <mergeCell ref="M11:V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6"/>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17" customWidth="1" min="6" max="6"/>
    <col width="3" customWidth="1" min="7" max="7"/>
    <col width="11" customWidth="1" min="8" max="8"/>
  </cols>
  <sheetData>
    <row r="1" ht="31.5" customHeight="1">
      <c r="A1" s="1" t="inlineStr">
        <is>
          <t>3   Saving for a target</t>
        </is>
      </c>
    </row>
    <row r="2" ht="30" customHeight="1">
      <c r="A2" s="2" t="inlineStr">
        <is>
          <t>You want $50,000 in 12 years for a house deposit. How much must you contribute at the end of each year at 5% p.a.? And what single amount, invested now, would grow to the same $50,000?</t>
        </is>
      </c>
    </row>
    <row r="4">
      <c r="A4" s="3" t="inlineStr">
        <is>
          <t>Inputs – change these</t>
        </is>
      </c>
      <c r="H4" s="3" t="inlineStr">
        <is>
          <t>How it works</t>
        </is>
      </c>
    </row>
    <row r="5">
      <c r="A5" s="4" t="inlineStr">
        <is>
          <t>Target future value, FV ($)</t>
        </is>
      </c>
      <c r="B5" s="9" t="n">
        <v>50000</v>
      </c>
      <c r="H5" s="10" t="inlineStr">
        <is>
          <t>Rearrange FV = M × factor to find the contribution needed to reach a target:</t>
        </is>
      </c>
    </row>
    <row r="6">
      <c r="A6" s="4" t="inlineStr">
        <is>
          <t>Interest rate per period, r</t>
        </is>
      </c>
      <c r="B6" s="11" t="n">
        <v>0.05</v>
      </c>
      <c r="H6" s="12" t="inlineStr">
        <is>
          <t xml:space="preserve">    M = FV ÷ factor          Cell B11:   =B5/B10</t>
        </is>
      </c>
    </row>
    <row r="7">
      <c r="A7" s="4" t="inlineStr">
        <is>
          <t>Number of periods, n (up to 40)</t>
        </is>
      </c>
      <c r="B7" s="5" t="n">
        <v>12</v>
      </c>
      <c r="H7" s="10" t="inlineStr">
        <is>
          <t>The table runs the annuity with that contribution. Its last closing balance equals the target, which checks the answer.</t>
        </is>
      </c>
    </row>
    <row r="8"/>
    <row r="9">
      <c r="A9" s="3" t="inlineStr">
        <is>
          <t>Results</t>
        </is>
      </c>
      <c r="H9" s="10" t="inlineStr">
        <is>
          <t>A single sum invested now that grows to the same future value is found by rearranging the compound interest formula:</t>
        </is>
      </c>
    </row>
    <row r="10">
      <c r="A10" s="4" t="inlineStr">
        <is>
          <t>Future value interest factor</t>
        </is>
      </c>
      <c r="B10" s="15">
        <f>((1+B6)^B7-1)/B6</f>
        <v/>
      </c>
    </row>
    <row r="11">
      <c r="A11" s="4" t="inlineStr">
        <is>
          <t>Contribution needed each period, M ($)</t>
        </is>
      </c>
      <c r="B11" s="13">
        <f>B5/B10</f>
        <v/>
      </c>
      <c r="H11" s="12" t="inlineStr">
        <is>
          <t xml:space="preserve">    PV = FV ÷ (1 + r)^n          Cell B14:   =B5/(1+B6)^B7</t>
        </is>
      </c>
    </row>
    <row r="12">
      <c r="A12" s="4" t="inlineStr">
        <is>
          <t>Total contributed ($)</t>
        </is>
      </c>
      <c r="B12" s="13">
        <f>B11*B7</f>
        <v/>
      </c>
      <c r="H12" s="10" t="inlineStr">
        <is>
          <t>Column F shows the single sum growing to the same target. It needs less money in total, because all of it earns interest from the very start.</t>
        </is>
      </c>
    </row>
    <row r="13">
      <c r="A13" s="4" t="inlineStr">
        <is>
          <t>Interest earned ($)</t>
        </is>
      </c>
      <c r="B13" s="13">
        <f>B5-B12</f>
        <v/>
      </c>
    </row>
    <row r="14">
      <c r="A14" s="4" t="inlineStr">
        <is>
          <t>Single sum invested now for the same FV ($)</t>
        </is>
      </c>
      <c r="B14" s="13">
        <f>B5/(1+B6)^B7</f>
        <v/>
      </c>
      <c r="H14" s="10" t="inlineStr">
        <is>
          <t>The table has room for 40 periods. IF(A17&gt;$B$7,"",…) leaves the rows after the last period blank.</t>
        </is>
      </c>
    </row>
    <row r="16" ht="31.5" customHeight="1">
      <c r="A16" s="7" t="inlineStr">
        <is>
          <t>Period</t>
        </is>
      </c>
      <c r="B16" s="7" t="inlineStr">
        <is>
          <t>Opening balance ($)</t>
        </is>
      </c>
      <c r="C16" s="7" t="inlineStr">
        <is>
          <t>Interest earned ($)</t>
        </is>
      </c>
      <c r="D16" s="7" t="inlineStr">
        <is>
          <t>Contribution ($)</t>
        </is>
      </c>
      <c r="E16" s="7" t="inlineStr">
        <is>
          <t>Closing balance ($)</t>
        </is>
      </c>
      <c r="F16" s="7" t="inlineStr">
        <is>
          <t>Single sum, growing ($)</t>
        </is>
      </c>
      <c r="H16" s="3" t="inlineStr">
        <is>
          <t>Try it</t>
        </is>
      </c>
    </row>
    <row r="17">
      <c r="A17" s="6" t="n">
        <v>1</v>
      </c>
      <c r="B17" s="13">
        <f>IF(A17&gt;$B$7,"",0)</f>
        <v/>
      </c>
      <c r="C17" s="13">
        <f>IF(A17&gt;$B$7,"",B17*$B$6)</f>
        <v/>
      </c>
      <c r="D17" s="13">
        <f>IF(A17&gt;$B$7,"",$B$11)</f>
        <v/>
      </c>
      <c r="E17" s="13">
        <f>IF(A17&gt;$B$7,"",B17+C17+D17)</f>
        <v/>
      </c>
      <c r="F17" s="13">
        <f>IF(A17&gt;$B$7,"",$B$14*(1+$B$6)^A17)</f>
        <v/>
      </c>
      <c r="H17" s="10" t="inlineStr">
        <is>
          <t>1. You want $80,000 in 15 years at 6% p.a. How much must you contribute each year?</t>
        </is>
      </c>
    </row>
    <row r="18">
      <c r="A18" s="6" t="n">
        <v>2</v>
      </c>
      <c r="B18" s="13">
        <f>IF(A18&gt;$B$7,"",E17)</f>
        <v/>
      </c>
      <c r="C18" s="13">
        <f>IF(A18&gt;$B$7,"",B18*$B$6)</f>
        <v/>
      </c>
      <c r="D18" s="13">
        <f>IF(A18&gt;$B$7,"",$B$11)</f>
        <v/>
      </c>
      <c r="E18" s="13">
        <f>IF(A18&gt;$B$7,"",B18+C18+D18)</f>
        <v/>
      </c>
      <c r="F18" s="13">
        <f>IF(A18&gt;$B$7,"",$B$14*(1+$B$6)^A18)</f>
        <v/>
      </c>
      <c r="H18" s="10" t="inlineStr">
        <is>
          <t>2. Set the inputs back. If the rate were 7% instead of 5%, how much less would you need to contribute each year?</t>
        </is>
      </c>
    </row>
    <row r="19">
      <c r="A19" s="6" t="n">
        <v>3</v>
      </c>
      <c r="B19" s="13">
        <f>IF(A19&gt;$B$7,"",E18)</f>
        <v/>
      </c>
      <c r="C19" s="13">
        <f>IF(A19&gt;$B$7,"",B19*$B$6)</f>
        <v/>
      </c>
      <c r="D19" s="13">
        <f>IF(A19&gt;$B$7,"",$B$11)</f>
        <v/>
      </c>
      <c r="E19" s="13">
        <f>IF(A19&gt;$B$7,"",B19+C19+D19)</f>
        <v/>
      </c>
      <c r="F19" s="13">
        <f>IF(A19&gt;$B$7,"",$B$14*(1+$B$6)^A19)</f>
        <v/>
      </c>
    </row>
    <row r="20">
      <c r="A20" s="6" t="n">
        <v>4</v>
      </c>
      <c r="B20" s="13">
        <f>IF(A20&gt;$B$7,"",E19)</f>
        <v/>
      </c>
      <c r="C20" s="13">
        <f>IF(A20&gt;$B$7,"",B20*$B$6)</f>
        <v/>
      </c>
      <c r="D20" s="13">
        <f>IF(A20&gt;$B$7,"",$B$11)</f>
        <v/>
      </c>
      <c r="E20" s="13">
        <f>IF(A20&gt;$B$7,"",B20+C20+D20)</f>
        <v/>
      </c>
      <c r="F20" s="13">
        <f>IF(A20&gt;$B$7,"",$B$14*(1+$B$6)^A20)</f>
        <v/>
      </c>
      <c r="H20" s="10" t="inlineStr">
        <is>
          <t>3. Compare the total contributed (B12) with the single sum (B14). Why is the single sum smaller?</t>
        </is>
      </c>
    </row>
    <row r="21">
      <c r="A21" s="6" t="n">
        <v>5</v>
      </c>
      <c r="B21" s="13">
        <f>IF(A21&gt;$B$7,"",E20)</f>
        <v/>
      </c>
      <c r="C21" s="13">
        <f>IF(A21&gt;$B$7,"",B21*$B$6)</f>
        <v/>
      </c>
      <c r="D21" s="13">
        <f>IF(A21&gt;$B$7,"",$B$11)</f>
        <v/>
      </c>
      <c r="E21" s="13">
        <f>IF(A21&gt;$B$7,"",B21+C21+D21)</f>
        <v/>
      </c>
      <c r="F21" s="13">
        <f>IF(A21&gt;$B$7,"",$B$14*(1+$B$6)^A21)</f>
        <v/>
      </c>
      <c r="H21" s="2" t="inlineStr">
        <is>
          <t>Set the inputs back to $50,000, 5% and 12 periods when you finish.</t>
        </is>
      </c>
    </row>
    <row r="22">
      <c r="A22" s="6" t="n">
        <v>6</v>
      </c>
      <c r="B22" s="13">
        <f>IF(A22&gt;$B$7,"",E21)</f>
        <v/>
      </c>
      <c r="C22" s="13">
        <f>IF(A22&gt;$B$7,"",B22*$B$6)</f>
        <v/>
      </c>
      <c r="D22" s="13">
        <f>IF(A22&gt;$B$7,"",$B$11)</f>
        <v/>
      </c>
      <c r="E22" s="13">
        <f>IF(A22&gt;$B$7,"",B22+C22+D22)</f>
        <v/>
      </c>
      <c r="F22" s="13">
        <f>IF(A22&gt;$B$7,"",$B$14*(1+$B$6)^A22)</f>
        <v/>
      </c>
    </row>
    <row r="23">
      <c r="A23" s="6" t="n">
        <v>7</v>
      </c>
      <c r="B23" s="13">
        <f>IF(A23&gt;$B$7,"",E22)</f>
        <v/>
      </c>
      <c r="C23" s="13">
        <f>IF(A23&gt;$B$7,"",B23*$B$6)</f>
        <v/>
      </c>
      <c r="D23" s="13">
        <f>IF(A23&gt;$B$7,"",$B$11)</f>
        <v/>
      </c>
      <c r="E23" s="13">
        <f>IF(A23&gt;$B$7,"",B23+C23+D23)</f>
        <v/>
      </c>
      <c r="F23" s="13">
        <f>IF(A23&gt;$B$7,"",$B$14*(1+$B$6)^A23)</f>
        <v/>
      </c>
    </row>
    <row r="24">
      <c r="A24" s="6" t="n">
        <v>8</v>
      </c>
      <c r="B24" s="13">
        <f>IF(A24&gt;$B$7,"",E23)</f>
        <v/>
      </c>
      <c r="C24" s="13">
        <f>IF(A24&gt;$B$7,"",B24*$B$6)</f>
        <v/>
      </c>
      <c r="D24" s="13">
        <f>IF(A24&gt;$B$7,"",$B$11)</f>
        <v/>
      </c>
      <c r="E24" s="13">
        <f>IF(A24&gt;$B$7,"",B24+C24+D24)</f>
        <v/>
      </c>
      <c r="F24" s="13">
        <f>IF(A24&gt;$B$7,"",$B$14*(1+$B$6)^A24)</f>
        <v/>
      </c>
    </row>
    <row r="25">
      <c r="A25" s="6" t="n">
        <v>9</v>
      </c>
      <c r="B25" s="13">
        <f>IF(A25&gt;$B$7,"",E24)</f>
        <v/>
      </c>
      <c r="C25" s="13">
        <f>IF(A25&gt;$B$7,"",B25*$B$6)</f>
        <v/>
      </c>
      <c r="D25" s="13">
        <f>IF(A25&gt;$B$7,"",$B$11)</f>
        <v/>
      </c>
      <c r="E25" s="13">
        <f>IF(A25&gt;$B$7,"",B25+C25+D25)</f>
        <v/>
      </c>
      <c r="F25" s="13">
        <f>IF(A25&gt;$B$7,"",$B$14*(1+$B$6)^A25)</f>
        <v/>
      </c>
    </row>
    <row r="26">
      <c r="A26" s="6" t="n">
        <v>10</v>
      </c>
      <c r="B26" s="13">
        <f>IF(A26&gt;$B$7,"",E25)</f>
        <v/>
      </c>
      <c r="C26" s="13">
        <f>IF(A26&gt;$B$7,"",B26*$B$6)</f>
        <v/>
      </c>
      <c r="D26" s="13">
        <f>IF(A26&gt;$B$7,"",$B$11)</f>
        <v/>
      </c>
      <c r="E26" s="13">
        <f>IF(A26&gt;$B$7,"",B26+C26+D26)</f>
        <v/>
      </c>
      <c r="F26" s="13">
        <f>IF(A26&gt;$B$7,"",$B$14*(1+$B$6)^A26)</f>
        <v/>
      </c>
    </row>
    <row r="27">
      <c r="A27" s="6" t="n">
        <v>11</v>
      </c>
      <c r="B27" s="13">
        <f>IF(A27&gt;$B$7,"",E26)</f>
        <v/>
      </c>
      <c r="C27" s="13">
        <f>IF(A27&gt;$B$7,"",B27*$B$6)</f>
        <v/>
      </c>
      <c r="D27" s="13">
        <f>IF(A27&gt;$B$7,"",$B$11)</f>
        <v/>
      </c>
      <c r="E27" s="13">
        <f>IF(A27&gt;$B$7,"",B27+C27+D27)</f>
        <v/>
      </c>
      <c r="F27" s="13">
        <f>IF(A27&gt;$B$7,"",$B$14*(1+$B$6)^A27)</f>
        <v/>
      </c>
    </row>
    <row r="28">
      <c r="A28" s="6" t="n">
        <v>12</v>
      </c>
      <c r="B28" s="13">
        <f>IF(A28&gt;$B$7,"",E27)</f>
        <v/>
      </c>
      <c r="C28" s="13">
        <f>IF(A28&gt;$B$7,"",B28*$B$6)</f>
        <v/>
      </c>
      <c r="D28" s="13">
        <f>IF(A28&gt;$B$7,"",$B$11)</f>
        <v/>
      </c>
      <c r="E28" s="13">
        <f>IF(A28&gt;$B$7,"",B28+C28+D28)</f>
        <v/>
      </c>
      <c r="F28" s="13">
        <f>IF(A28&gt;$B$7,"",$B$14*(1+$B$6)^A28)</f>
        <v/>
      </c>
    </row>
    <row r="29">
      <c r="A29" s="6" t="n">
        <v>13</v>
      </c>
      <c r="B29" s="13">
        <f>IF(A29&gt;$B$7,"",E28)</f>
        <v/>
      </c>
      <c r="C29" s="13">
        <f>IF(A29&gt;$B$7,"",B29*$B$6)</f>
        <v/>
      </c>
      <c r="D29" s="13">
        <f>IF(A29&gt;$B$7,"",$B$11)</f>
        <v/>
      </c>
      <c r="E29" s="13">
        <f>IF(A29&gt;$B$7,"",B29+C29+D29)</f>
        <v/>
      </c>
      <c r="F29" s="13">
        <f>IF(A29&gt;$B$7,"",$B$14*(1+$B$6)^A29)</f>
        <v/>
      </c>
    </row>
    <row r="30">
      <c r="A30" s="6" t="n">
        <v>14</v>
      </c>
      <c r="B30" s="13">
        <f>IF(A30&gt;$B$7,"",E29)</f>
        <v/>
      </c>
      <c r="C30" s="13">
        <f>IF(A30&gt;$B$7,"",B30*$B$6)</f>
        <v/>
      </c>
      <c r="D30" s="13">
        <f>IF(A30&gt;$B$7,"",$B$11)</f>
        <v/>
      </c>
      <c r="E30" s="13">
        <f>IF(A30&gt;$B$7,"",B30+C30+D30)</f>
        <v/>
      </c>
      <c r="F30" s="13">
        <f>IF(A30&gt;$B$7,"",$B$14*(1+$B$6)^A30)</f>
        <v/>
      </c>
    </row>
    <row r="31">
      <c r="A31" s="6" t="n">
        <v>15</v>
      </c>
      <c r="B31" s="13">
        <f>IF(A31&gt;$B$7,"",E30)</f>
        <v/>
      </c>
      <c r="C31" s="13">
        <f>IF(A31&gt;$B$7,"",B31*$B$6)</f>
        <v/>
      </c>
      <c r="D31" s="13">
        <f>IF(A31&gt;$B$7,"",$B$11)</f>
        <v/>
      </c>
      <c r="E31" s="13">
        <f>IF(A31&gt;$B$7,"",B31+C31+D31)</f>
        <v/>
      </c>
      <c r="F31" s="13">
        <f>IF(A31&gt;$B$7,"",$B$14*(1+$B$6)^A31)</f>
        <v/>
      </c>
    </row>
    <row r="32">
      <c r="A32" s="6" t="n">
        <v>16</v>
      </c>
      <c r="B32" s="13">
        <f>IF(A32&gt;$B$7,"",E31)</f>
        <v/>
      </c>
      <c r="C32" s="13">
        <f>IF(A32&gt;$B$7,"",B32*$B$6)</f>
        <v/>
      </c>
      <c r="D32" s="13">
        <f>IF(A32&gt;$B$7,"",$B$11)</f>
        <v/>
      </c>
      <c r="E32" s="13">
        <f>IF(A32&gt;$B$7,"",B32+C32+D32)</f>
        <v/>
      </c>
      <c r="F32" s="13">
        <f>IF(A32&gt;$B$7,"",$B$14*(1+$B$6)^A32)</f>
        <v/>
      </c>
    </row>
    <row r="33">
      <c r="A33" s="6" t="n">
        <v>17</v>
      </c>
      <c r="B33" s="13">
        <f>IF(A33&gt;$B$7,"",E32)</f>
        <v/>
      </c>
      <c r="C33" s="13">
        <f>IF(A33&gt;$B$7,"",B33*$B$6)</f>
        <v/>
      </c>
      <c r="D33" s="13">
        <f>IF(A33&gt;$B$7,"",$B$11)</f>
        <v/>
      </c>
      <c r="E33" s="13">
        <f>IF(A33&gt;$B$7,"",B33+C33+D33)</f>
        <v/>
      </c>
      <c r="F33" s="13">
        <f>IF(A33&gt;$B$7,"",$B$14*(1+$B$6)^A33)</f>
        <v/>
      </c>
    </row>
    <row r="34">
      <c r="A34" s="6" t="n">
        <v>18</v>
      </c>
      <c r="B34" s="13">
        <f>IF(A34&gt;$B$7,"",E33)</f>
        <v/>
      </c>
      <c r="C34" s="13">
        <f>IF(A34&gt;$B$7,"",B34*$B$6)</f>
        <v/>
      </c>
      <c r="D34" s="13">
        <f>IF(A34&gt;$B$7,"",$B$11)</f>
        <v/>
      </c>
      <c r="E34" s="13">
        <f>IF(A34&gt;$B$7,"",B34+C34+D34)</f>
        <v/>
      </c>
      <c r="F34" s="13">
        <f>IF(A34&gt;$B$7,"",$B$14*(1+$B$6)^A34)</f>
        <v/>
      </c>
    </row>
    <row r="35">
      <c r="A35" s="6" t="n">
        <v>19</v>
      </c>
      <c r="B35" s="13">
        <f>IF(A35&gt;$B$7,"",E34)</f>
        <v/>
      </c>
      <c r="C35" s="13">
        <f>IF(A35&gt;$B$7,"",B35*$B$6)</f>
        <v/>
      </c>
      <c r="D35" s="13">
        <f>IF(A35&gt;$B$7,"",$B$11)</f>
        <v/>
      </c>
      <c r="E35" s="13">
        <f>IF(A35&gt;$B$7,"",B35+C35+D35)</f>
        <v/>
      </c>
      <c r="F35" s="13">
        <f>IF(A35&gt;$B$7,"",$B$14*(1+$B$6)^A35)</f>
        <v/>
      </c>
    </row>
    <row r="36">
      <c r="A36" s="6" t="n">
        <v>20</v>
      </c>
      <c r="B36" s="13">
        <f>IF(A36&gt;$B$7,"",E35)</f>
        <v/>
      </c>
      <c r="C36" s="13">
        <f>IF(A36&gt;$B$7,"",B36*$B$6)</f>
        <v/>
      </c>
      <c r="D36" s="13">
        <f>IF(A36&gt;$B$7,"",$B$11)</f>
        <v/>
      </c>
      <c r="E36" s="13">
        <f>IF(A36&gt;$B$7,"",B36+C36+D36)</f>
        <v/>
      </c>
      <c r="F36" s="13">
        <f>IF(A36&gt;$B$7,"",$B$14*(1+$B$6)^A36)</f>
        <v/>
      </c>
    </row>
    <row r="37">
      <c r="A37" s="6" t="n">
        <v>21</v>
      </c>
      <c r="B37" s="13">
        <f>IF(A37&gt;$B$7,"",E36)</f>
        <v/>
      </c>
      <c r="C37" s="13">
        <f>IF(A37&gt;$B$7,"",B37*$B$6)</f>
        <v/>
      </c>
      <c r="D37" s="13">
        <f>IF(A37&gt;$B$7,"",$B$11)</f>
        <v/>
      </c>
      <c r="E37" s="13">
        <f>IF(A37&gt;$B$7,"",B37+C37+D37)</f>
        <v/>
      </c>
      <c r="F37" s="13">
        <f>IF(A37&gt;$B$7,"",$B$14*(1+$B$6)^A37)</f>
        <v/>
      </c>
    </row>
    <row r="38">
      <c r="A38" s="6" t="n">
        <v>22</v>
      </c>
      <c r="B38" s="13">
        <f>IF(A38&gt;$B$7,"",E37)</f>
        <v/>
      </c>
      <c r="C38" s="13">
        <f>IF(A38&gt;$B$7,"",B38*$B$6)</f>
        <v/>
      </c>
      <c r="D38" s="13">
        <f>IF(A38&gt;$B$7,"",$B$11)</f>
        <v/>
      </c>
      <c r="E38" s="13">
        <f>IF(A38&gt;$B$7,"",B38+C38+D38)</f>
        <v/>
      </c>
      <c r="F38" s="13">
        <f>IF(A38&gt;$B$7,"",$B$14*(1+$B$6)^A38)</f>
        <v/>
      </c>
    </row>
    <row r="39">
      <c r="A39" s="6" t="n">
        <v>23</v>
      </c>
      <c r="B39" s="13">
        <f>IF(A39&gt;$B$7,"",E38)</f>
        <v/>
      </c>
      <c r="C39" s="13">
        <f>IF(A39&gt;$B$7,"",B39*$B$6)</f>
        <v/>
      </c>
      <c r="D39" s="13">
        <f>IF(A39&gt;$B$7,"",$B$11)</f>
        <v/>
      </c>
      <c r="E39" s="13">
        <f>IF(A39&gt;$B$7,"",B39+C39+D39)</f>
        <v/>
      </c>
      <c r="F39" s="13">
        <f>IF(A39&gt;$B$7,"",$B$14*(1+$B$6)^A39)</f>
        <v/>
      </c>
    </row>
    <row r="40">
      <c r="A40" s="6" t="n">
        <v>24</v>
      </c>
      <c r="B40" s="13">
        <f>IF(A40&gt;$B$7,"",E39)</f>
        <v/>
      </c>
      <c r="C40" s="13">
        <f>IF(A40&gt;$B$7,"",B40*$B$6)</f>
        <v/>
      </c>
      <c r="D40" s="13">
        <f>IF(A40&gt;$B$7,"",$B$11)</f>
        <v/>
      </c>
      <c r="E40" s="13">
        <f>IF(A40&gt;$B$7,"",B40+C40+D40)</f>
        <v/>
      </c>
      <c r="F40" s="13">
        <f>IF(A40&gt;$B$7,"",$B$14*(1+$B$6)^A40)</f>
        <v/>
      </c>
    </row>
    <row r="41">
      <c r="A41" s="6" t="n">
        <v>25</v>
      </c>
      <c r="B41" s="13">
        <f>IF(A41&gt;$B$7,"",E40)</f>
        <v/>
      </c>
      <c r="C41" s="13">
        <f>IF(A41&gt;$B$7,"",B41*$B$6)</f>
        <v/>
      </c>
      <c r="D41" s="13">
        <f>IF(A41&gt;$B$7,"",$B$11)</f>
        <v/>
      </c>
      <c r="E41" s="13">
        <f>IF(A41&gt;$B$7,"",B41+C41+D41)</f>
        <v/>
      </c>
      <c r="F41" s="13">
        <f>IF(A41&gt;$B$7,"",$B$14*(1+$B$6)^A41)</f>
        <v/>
      </c>
    </row>
    <row r="42">
      <c r="A42" s="6" t="n">
        <v>26</v>
      </c>
      <c r="B42" s="13">
        <f>IF(A42&gt;$B$7,"",E41)</f>
        <v/>
      </c>
      <c r="C42" s="13">
        <f>IF(A42&gt;$B$7,"",B42*$B$6)</f>
        <v/>
      </c>
      <c r="D42" s="13">
        <f>IF(A42&gt;$B$7,"",$B$11)</f>
        <v/>
      </c>
      <c r="E42" s="13">
        <f>IF(A42&gt;$B$7,"",B42+C42+D42)</f>
        <v/>
      </c>
      <c r="F42" s="13">
        <f>IF(A42&gt;$B$7,"",$B$14*(1+$B$6)^A42)</f>
        <v/>
      </c>
    </row>
    <row r="43">
      <c r="A43" s="6" t="n">
        <v>27</v>
      </c>
      <c r="B43" s="13">
        <f>IF(A43&gt;$B$7,"",E42)</f>
        <v/>
      </c>
      <c r="C43" s="13">
        <f>IF(A43&gt;$B$7,"",B43*$B$6)</f>
        <v/>
      </c>
      <c r="D43" s="13">
        <f>IF(A43&gt;$B$7,"",$B$11)</f>
        <v/>
      </c>
      <c r="E43" s="13">
        <f>IF(A43&gt;$B$7,"",B43+C43+D43)</f>
        <v/>
      </c>
      <c r="F43" s="13">
        <f>IF(A43&gt;$B$7,"",$B$14*(1+$B$6)^A43)</f>
        <v/>
      </c>
    </row>
    <row r="44">
      <c r="A44" s="6" t="n">
        <v>28</v>
      </c>
      <c r="B44" s="13">
        <f>IF(A44&gt;$B$7,"",E43)</f>
        <v/>
      </c>
      <c r="C44" s="13">
        <f>IF(A44&gt;$B$7,"",B44*$B$6)</f>
        <v/>
      </c>
      <c r="D44" s="13">
        <f>IF(A44&gt;$B$7,"",$B$11)</f>
        <v/>
      </c>
      <c r="E44" s="13">
        <f>IF(A44&gt;$B$7,"",B44+C44+D44)</f>
        <v/>
      </c>
      <c r="F44" s="13">
        <f>IF(A44&gt;$B$7,"",$B$14*(1+$B$6)^A44)</f>
        <v/>
      </c>
    </row>
    <row r="45">
      <c r="A45" s="6" t="n">
        <v>29</v>
      </c>
      <c r="B45" s="13">
        <f>IF(A45&gt;$B$7,"",E44)</f>
        <v/>
      </c>
      <c r="C45" s="13">
        <f>IF(A45&gt;$B$7,"",B45*$B$6)</f>
        <v/>
      </c>
      <c r="D45" s="13">
        <f>IF(A45&gt;$B$7,"",$B$11)</f>
        <v/>
      </c>
      <c r="E45" s="13">
        <f>IF(A45&gt;$B$7,"",B45+C45+D45)</f>
        <v/>
      </c>
      <c r="F45" s="13">
        <f>IF(A45&gt;$B$7,"",$B$14*(1+$B$6)^A45)</f>
        <v/>
      </c>
    </row>
    <row r="46">
      <c r="A46" s="6" t="n">
        <v>30</v>
      </c>
      <c r="B46" s="13">
        <f>IF(A46&gt;$B$7,"",E45)</f>
        <v/>
      </c>
      <c r="C46" s="13">
        <f>IF(A46&gt;$B$7,"",B46*$B$6)</f>
        <v/>
      </c>
      <c r="D46" s="13">
        <f>IF(A46&gt;$B$7,"",$B$11)</f>
        <v/>
      </c>
      <c r="E46" s="13">
        <f>IF(A46&gt;$B$7,"",B46+C46+D46)</f>
        <v/>
      </c>
      <c r="F46" s="13">
        <f>IF(A46&gt;$B$7,"",$B$14*(1+$B$6)^A46)</f>
        <v/>
      </c>
    </row>
    <row r="47">
      <c r="A47" s="6" t="n">
        <v>31</v>
      </c>
      <c r="B47" s="13">
        <f>IF(A47&gt;$B$7,"",E46)</f>
        <v/>
      </c>
      <c r="C47" s="13">
        <f>IF(A47&gt;$B$7,"",B47*$B$6)</f>
        <v/>
      </c>
      <c r="D47" s="13">
        <f>IF(A47&gt;$B$7,"",$B$11)</f>
        <v/>
      </c>
      <c r="E47" s="13">
        <f>IF(A47&gt;$B$7,"",B47+C47+D47)</f>
        <v/>
      </c>
      <c r="F47" s="13">
        <f>IF(A47&gt;$B$7,"",$B$14*(1+$B$6)^A47)</f>
        <v/>
      </c>
    </row>
    <row r="48">
      <c r="A48" s="6" t="n">
        <v>32</v>
      </c>
      <c r="B48" s="13">
        <f>IF(A48&gt;$B$7,"",E47)</f>
        <v/>
      </c>
      <c r="C48" s="13">
        <f>IF(A48&gt;$B$7,"",B48*$B$6)</f>
        <v/>
      </c>
      <c r="D48" s="13">
        <f>IF(A48&gt;$B$7,"",$B$11)</f>
        <v/>
      </c>
      <c r="E48" s="13">
        <f>IF(A48&gt;$B$7,"",B48+C48+D48)</f>
        <v/>
      </c>
      <c r="F48" s="13">
        <f>IF(A48&gt;$B$7,"",$B$14*(1+$B$6)^A48)</f>
        <v/>
      </c>
    </row>
    <row r="49">
      <c r="A49" s="6" t="n">
        <v>33</v>
      </c>
      <c r="B49" s="13">
        <f>IF(A49&gt;$B$7,"",E48)</f>
        <v/>
      </c>
      <c r="C49" s="13">
        <f>IF(A49&gt;$B$7,"",B49*$B$6)</f>
        <v/>
      </c>
      <c r="D49" s="13">
        <f>IF(A49&gt;$B$7,"",$B$11)</f>
        <v/>
      </c>
      <c r="E49" s="13">
        <f>IF(A49&gt;$B$7,"",B49+C49+D49)</f>
        <v/>
      </c>
      <c r="F49" s="13">
        <f>IF(A49&gt;$B$7,"",$B$14*(1+$B$6)^A49)</f>
        <v/>
      </c>
    </row>
    <row r="50">
      <c r="A50" s="6" t="n">
        <v>34</v>
      </c>
      <c r="B50" s="13">
        <f>IF(A50&gt;$B$7,"",E49)</f>
        <v/>
      </c>
      <c r="C50" s="13">
        <f>IF(A50&gt;$B$7,"",B50*$B$6)</f>
        <v/>
      </c>
      <c r="D50" s="13">
        <f>IF(A50&gt;$B$7,"",$B$11)</f>
        <v/>
      </c>
      <c r="E50" s="13">
        <f>IF(A50&gt;$B$7,"",B50+C50+D50)</f>
        <v/>
      </c>
      <c r="F50" s="13">
        <f>IF(A50&gt;$B$7,"",$B$14*(1+$B$6)^A50)</f>
        <v/>
      </c>
    </row>
    <row r="51">
      <c r="A51" s="6" t="n">
        <v>35</v>
      </c>
      <c r="B51" s="13">
        <f>IF(A51&gt;$B$7,"",E50)</f>
        <v/>
      </c>
      <c r="C51" s="13">
        <f>IF(A51&gt;$B$7,"",B51*$B$6)</f>
        <v/>
      </c>
      <c r="D51" s="13">
        <f>IF(A51&gt;$B$7,"",$B$11)</f>
        <v/>
      </c>
      <c r="E51" s="13">
        <f>IF(A51&gt;$B$7,"",B51+C51+D51)</f>
        <v/>
      </c>
      <c r="F51" s="13">
        <f>IF(A51&gt;$B$7,"",$B$14*(1+$B$6)^A51)</f>
        <v/>
      </c>
    </row>
    <row r="52">
      <c r="A52" s="6" t="n">
        <v>36</v>
      </c>
      <c r="B52" s="13">
        <f>IF(A52&gt;$B$7,"",E51)</f>
        <v/>
      </c>
      <c r="C52" s="13">
        <f>IF(A52&gt;$B$7,"",B52*$B$6)</f>
        <v/>
      </c>
      <c r="D52" s="13">
        <f>IF(A52&gt;$B$7,"",$B$11)</f>
        <v/>
      </c>
      <c r="E52" s="13">
        <f>IF(A52&gt;$B$7,"",B52+C52+D52)</f>
        <v/>
      </c>
      <c r="F52" s="13">
        <f>IF(A52&gt;$B$7,"",$B$14*(1+$B$6)^A52)</f>
        <v/>
      </c>
    </row>
    <row r="53">
      <c r="A53" s="6" t="n">
        <v>37</v>
      </c>
      <c r="B53" s="13">
        <f>IF(A53&gt;$B$7,"",E52)</f>
        <v/>
      </c>
      <c r="C53" s="13">
        <f>IF(A53&gt;$B$7,"",B53*$B$6)</f>
        <v/>
      </c>
      <c r="D53" s="13">
        <f>IF(A53&gt;$B$7,"",$B$11)</f>
        <v/>
      </c>
      <c r="E53" s="13">
        <f>IF(A53&gt;$B$7,"",B53+C53+D53)</f>
        <v/>
      </c>
      <c r="F53" s="13">
        <f>IF(A53&gt;$B$7,"",$B$14*(1+$B$6)^A53)</f>
        <v/>
      </c>
    </row>
    <row r="54">
      <c r="A54" s="6" t="n">
        <v>38</v>
      </c>
      <c r="B54" s="13">
        <f>IF(A54&gt;$B$7,"",E53)</f>
        <v/>
      </c>
      <c r="C54" s="13">
        <f>IF(A54&gt;$B$7,"",B54*$B$6)</f>
        <v/>
      </c>
      <c r="D54" s="13">
        <f>IF(A54&gt;$B$7,"",$B$11)</f>
        <v/>
      </c>
      <c r="E54" s="13">
        <f>IF(A54&gt;$B$7,"",B54+C54+D54)</f>
        <v/>
      </c>
      <c r="F54" s="13">
        <f>IF(A54&gt;$B$7,"",$B$14*(1+$B$6)^A54)</f>
        <v/>
      </c>
    </row>
    <row r="55">
      <c r="A55" s="6" t="n">
        <v>39</v>
      </c>
      <c r="B55" s="13">
        <f>IF(A55&gt;$B$7,"",E54)</f>
        <v/>
      </c>
      <c r="C55" s="13">
        <f>IF(A55&gt;$B$7,"",B55*$B$6)</f>
        <v/>
      </c>
      <c r="D55" s="13">
        <f>IF(A55&gt;$B$7,"",$B$11)</f>
        <v/>
      </c>
      <c r="E55" s="13">
        <f>IF(A55&gt;$B$7,"",B55+C55+D55)</f>
        <v/>
      </c>
      <c r="F55" s="13">
        <f>IF(A55&gt;$B$7,"",$B$14*(1+$B$6)^A55)</f>
        <v/>
      </c>
    </row>
    <row r="56">
      <c r="A56" s="6" t="n">
        <v>40</v>
      </c>
      <c r="B56" s="13">
        <f>IF(A56&gt;$B$7,"",E55)</f>
        <v/>
      </c>
      <c r="C56" s="13">
        <f>IF(A56&gt;$B$7,"",B56*$B$6)</f>
        <v/>
      </c>
      <c r="D56" s="13">
        <f>IF(A56&gt;$B$7,"",$B$11)</f>
        <v/>
      </c>
      <c r="E56" s="13">
        <f>IF(A56&gt;$B$7,"",B56+C56+D56)</f>
        <v/>
      </c>
      <c r="F56" s="13">
        <f>IF(A56&gt;$B$7,"",$B$14*(1+$B$6)^A56)</f>
        <v/>
      </c>
    </row>
  </sheetData>
  <mergeCells count="13">
    <mergeCell ref="H14:Q14"/>
    <mergeCell ref="H18:Q19"/>
    <mergeCell ref="H20:Q20"/>
    <mergeCell ref="H5:Q5"/>
    <mergeCell ref="A2:Q2"/>
    <mergeCell ref="H9:Q10"/>
    <mergeCell ref="H12:Q13"/>
    <mergeCell ref="H17:Q17"/>
    <mergeCell ref="H11:Q11"/>
    <mergeCell ref="H21:Q21"/>
    <mergeCell ref="H6:Q6"/>
    <mergeCell ref="H7:Q8"/>
    <mergeCell ref="A1:Q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9"/>
  <sheetViews>
    <sheetView showGridLines="0"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3" customWidth="1" min="7" max="7"/>
    <col width="11" customWidth="1" min="8" max="8"/>
  </cols>
  <sheetData>
    <row r="1" ht="31.5" customHeight="1">
      <c r="A1" s="1" t="inlineStr">
        <is>
          <t>4   Varying the annuity</t>
        </is>
      </c>
    </row>
    <row r="2" ht="30" customHeight="1">
      <c r="A2" s="2" t="inlineStr">
        <is>
          <t>Five annuities side by side. Each column changes ONE thing from the Base column: the amount invested at the start, the regular contribution, the interest rate or the number of periods.</t>
        </is>
      </c>
    </row>
    <row r="4">
      <c r="A4" s="3" t="inlineStr">
        <is>
          <t>Inputs – change these</t>
        </is>
      </c>
      <c r="H4" s="3" t="inlineStr">
        <is>
          <t>How it works</t>
        </is>
      </c>
    </row>
    <row r="5" ht="31.5" customHeight="1">
      <c r="A5" s="7" t="inlineStr">
        <is>
          <t>Scenario</t>
        </is>
      </c>
      <c r="B5" s="7" t="inlineStr">
        <is>
          <t>Base</t>
        </is>
      </c>
      <c r="C5" s="7" t="inlineStr">
        <is>
          <t>Larger initial amount</t>
        </is>
      </c>
      <c r="D5" s="7" t="inlineStr">
        <is>
          <t>Larger contribution</t>
        </is>
      </c>
      <c r="E5" s="7" t="inlineStr">
        <is>
          <t>Higher rate</t>
        </is>
      </c>
      <c r="F5" s="7" t="inlineStr">
        <is>
          <t>Longer term</t>
        </is>
      </c>
      <c r="H5" s="10" t="inlineStr">
        <is>
          <t>Each column is a separate annuity. Compare each one with the Base column to see the effect of changing one input.</t>
        </is>
      </c>
    </row>
    <row r="6">
      <c r="A6" s="4" t="inlineStr">
        <is>
          <t>Initial amount invested at the start, P ($)</t>
        </is>
      </c>
      <c r="B6" s="9" t="n">
        <v>0</v>
      </c>
      <c r="C6" s="9" t="n">
        <v>10000</v>
      </c>
      <c r="D6" s="9" t="n">
        <v>0</v>
      </c>
      <c r="E6" s="9" t="n">
        <v>0</v>
      </c>
      <c r="F6" s="9" t="n">
        <v>0</v>
      </c>
    </row>
    <row r="7">
      <c r="A7" s="4" t="inlineStr">
        <is>
          <t>Contribution at the end of each period, M ($)</t>
        </is>
      </c>
      <c r="B7" s="9" t="n">
        <v>2000</v>
      </c>
      <c r="C7" s="9" t="n">
        <v>2000</v>
      </c>
      <c r="D7" s="9" t="n">
        <v>3000</v>
      </c>
      <c r="E7" s="9" t="n">
        <v>2000</v>
      </c>
      <c r="F7" s="9" t="n">
        <v>2000</v>
      </c>
      <c r="H7" s="10" t="inlineStr">
        <is>
          <t>With an initial amount as well as regular contributions, the future value has two parts: the initial amount grows as compound interest, and the contributions grow as an annuity.</t>
        </is>
      </c>
    </row>
    <row r="8">
      <c r="A8" s="4" t="inlineStr">
        <is>
          <t>Interest rate per period, r</t>
        </is>
      </c>
      <c r="B8" s="11" t="n">
        <v>0.05</v>
      </c>
      <c r="C8" s="11" t="n">
        <v>0.05</v>
      </c>
      <c r="D8" s="11" t="n">
        <v>0.05</v>
      </c>
      <c r="E8" s="11" t="n">
        <v>0.07000000000000001</v>
      </c>
      <c r="F8" s="11" t="n">
        <v>0.05</v>
      </c>
    </row>
    <row r="9">
      <c r="A9" s="4" t="inlineStr">
        <is>
          <t>Number of periods, n</t>
        </is>
      </c>
      <c r="B9" s="5" t="n">
        <v>20</v>
      </c>
      <c r="C9" s="5" t="n">
        <v>20</v>
      </c>
      <c r="D9" s="5" t="n">
        <v>20</v>
      </c>
      <c r="E9" s="5" t="n">
        <v>20</v>
      </c>
      <c r="F9" s="5" t="n">
        <v>30</v>
      </c>
      <c r="H9" s="12" t="inlineStr">
        <is>
          <t xml:space="preserve">    FV = P(1 + r)^n + M × ((1 + r)^n − 1) ÷ r</t>
        </is>
      </c>
    </row>
    <row r="10">
      <c r="H10" s="12" t="inlineStr">
        <is>
          <t xml:space="preserve">    Cell B12:   =B6*(1+B8)^B9+B7*((1+B8)^B9-1)/B8</t>
        </is>
      </c>
    </row>
    <row r="11">
      <c r="A11" s="3" t="inlineStr">
        <is>
          <t>Results</t>
        </is>
      </c>
      <c r="H11" s="10" t="inlineStr">
        <is>
          <t>Row 15 subtracts the Base future value ($B$12) from each column.</t>
        </is>
      </c>
    </row>
    <row r="12">
      <c r="A12" s="4" t="inlineStr">
        <is>
          <t>Future value ($)</t>
        </is>
      </c>
      <c r="B12" s="13">
        <f>B6*(1+B8)^B9+B7*((1+B8)^B9-1)/B8</f>
        <v/>
      </c>
      <c r="C12" s="13">
        <f>C6*(1+C8)^C9+C7*((1+C8)^C9-1)/C8</f>
        <v/>
      </c>
      <c r="D12" s="13">
        <f>D6*(1+D8)^D9+D7*((1+D8)^D9-1)/D8</f>
        <v/>
      </c>
      <c r="E12" s="13">
        <f>E6*(1+E8)^E9+E7*((1+E8)^E9-1)/E8</f>
        <v/>
      </c>
      <c r="F12" s="13">
        <f>F6*(1+F8)^F9+F7*((1+F8)^F9-1)/F8</f>
        <v/>
      </c>
    </row>
    <row r="13">
      <c r="A13" s="4" t="inlineStr">
        <is>
          <t>Total paid in ($)</t>
        </is>
      </c>
      <c r="B13" s="13">
        <f>B6+B7*B9</f>
        <v/>
      </c>
      <c r="C13" s="13">
        <f>C6+C7*C9</f>
        <v/>
      </c>
      <c r="D13" s="13">
        <f>D6+D7*D9</f>
        <v/>
      </c>
      <c r="E13" s="13">
        <f>E6+E7*E9</f>
        <v/>
      </c>
      <c r="F13" s="13">
        <f>F6+F7*F9</f>
        <v/>
      </c>
      <c r="H13" s="3" t="inlineStr">
        <is>
          <t>Try it</t>
        </is>
      </c>
    </row>
    <row r="14">
      <c r="A14" s="4" t="inlineStr">
        <is>
          <t>Interest earned ($)</t>
        </is>
      </c>
      <c r="B14" s="13">
        <f>B12-B13</f>
        <v/>
      </c>
      <c r="C14" s="13">
        <f>C12-C13</f>
        <v/>
      </c>
      <c r="D14" s="13">
        <f>D12-D13</f>
        <v/>
      </c>
      <c r="E14" s="13">
        <f>E12-E13</f>
        <v/>
      </c>
      <c r="F14" s="13">
        <f>F12-F13</f>
        <v/>
      </c>
      <c r="H14" s="10" t="inlineStr">
        <is>
          <t>1. Which single change increased the future value the most? By how much?</t>
        </is>
      </c>
    </row>
    <row r="15">
      <c r="A15" s="4" t="inlineStr">
        <is>
          <t>Change in future value compared with Base ($)</t>
        </is>
      </c>
      <c r="B15" s="13">
        <f>B12-$B$12</f>
        <v/>
      </c>
      <c r="C15" s="13">
        <f>C12-$B$12</f>
        <v/>
      </c>
      <c r="D15" s="13">
        <f>D12-$B$12</f>
        <v/>
      </c>
      <c r="E15" s="13">
        <f>E12-$B$12</f>
        <v/>
      </c>
      <c r="F15" s="13">
        <f>F12-$B$12</f>
        <v/>
      </c>
      <c r="H15" s="10" t="inlineStr">
        <is>
          <t>2. In the Higher rate column, find by trial the lowest whole-number rate that gives a future value of at least $100,000.</t>
        </is>
      </c>
    </row>
    <row r="16"/>
    <row r="17">
      <c r="H17" s="10" t="inlineStr">
        <is>
          <t>3. In the Base column, what contribution would reach $100,000 in 20 years? Try values, then check with M = FV ÷ factor.</t>
        </is>
      </c>
    </row>
    <row r="18"/>
    <row r="19">
      <c r="H19" s="2" t="inlineStr">
        <is>
          <t>Set the inputs back to their starting values when you finish.</t>
        </is>
      </c>
    </row>
  </sheetData>
  <mergeCells count="11">
    <mergeCell ref="H14:Q14"/>
    <mergeCell ref="H19:Q19"/>
    <mergeCell ref="H5:Q6"/>
    <mergeCell ref="H9:Q9"/>
    <mergeCell ref="A2:Q2"/>
    <mergeCell ref="H11:Q11"/>
    <mergeCell ref="H17:Q18"/>
    <mergeCell ref="H7:Q8"/>
    <mergeCell ref="A1:Q1"/>
    <mergeCell ref="H15:Q16"/>
    <mergeCell ref="H10:Q10"/>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45"/>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17" customWidth="1" min="6" max="6"/>
    <col width="3" customWidth="1" min="7" max="7"/>
    <col width="11" customWidth="1" min="8" max="8"/>
  </cols>
  <sheetData>
    <row r="1" ht="31.5" customHeight="1">
      <c r="A1" s="1" t="inlineStr">
        <is>
          <t>5   Present value: withdrawing from a retirement fund</t>
        </is>
      </c>
    </row>
    <row r="2" ht="30" customHeight="1">
      <c r="A2" s="2" t="inlineStr">
        <is>
          <t>A retiree wants to withdraw $30,000 at the end of every year for 20 years. The fund earns 4% p.a. How much must be in the fund on the day they retire?</t>
        </is>
      </c>
    </row>
    <row r="4">
      <c r="A4" s="3" t="inlineStr">
        <is>
          <t>Inputs – change these</t>
        </is>
      </c>
      <c r="H4" s="3" t="inlineStr">
        <is>
          <t>How it works</t>
        </is>
      </c>
    </row>
    <row r="5">
      <c r="A5" s="4" t="inlineStr">
        <is>
          <t>Withdrawal at the end of each period, M ($)</t>
        </is>
      </c>
      <c r="B5" s="9" t="n">
        <v>30000</v>
      </c>
      <c r="H5" s="10" t="inlineStr">
        <is>
          <t>Here the annuity runs the other way: a single sum is invested now and equal withdrawals are taken at the end of each period. Retirement income streams work like this.</t>
        </is>
      </c>
    </row>
    <row r="6">
      <c r="A6" s="4" t="inlineStr">
        <is>
          <t>Interest rate per period, r</t>
        </is>
      </c>
      <c r="B6" s="11" t="n">
        <v>0.04</v>
      </c>
    </row>
    <row r="7">
      <c r="A7" s="4" t="inlineStr">
        <is>
          <t>Number of withdrawals, n (up to 30)</t>
        </is>
      </c>
      <c r="B7" s="5" t="n">
        <v>20</v>
      </c>
      <c r="H7" s="10" t="inlineStr">
        <is>
          <t>The present value is the amount needed now to fund every withdrawal:</t>
        </is>
      </c>
    </row>
    <row r="8">
      <c r="H8" s="12" t="inlineStr">
        <is>
          <t xml:space="preserve">    PV = M × (1 − (1 + r)^−n) ÷ r          Cell B11:   =B5*B10</t>
        </is>
      </c>
    </row>
    <row r="9">
      <c r="A9" s="3" t="inlineStr">
        <is>
          <t>Results</t>
        </is>
      </c>
      <c r="H9" s="10" t="inlineStr">
        <is>
          <t>The table checks it. Interest is added each period and the withdrawal is taken out, and the balance reaches $0 with the last withdrawal. MAX(0, …) stops tiny rounding errors showing as negative balances.</t>
        </is>
      </c>
    </row>
    <row r="10">
      <c r="A10" s="4" t="inlineStr">
        <is>
          <t>Present value interest factor</t>
        </is>
      </c>
      <c r="B10" s="15">
        <f>(1-(1+B6)^-B7)/B6</f>
        <v/>
      </c>
    </row>
    <row r="11">
      <c r="A11" s="4" t="inlineStr">
        <is>
          <t>Amount needed at the start, PV ($)</t>
        </is>
      </c>
      <c r="B11" s="13">
        <f>B5*B10</f>
        <v/>
      </c>
    </row>
    <row r="12">
      <c r="A12" s="4" t="inlineStr">
        <is>
          <t>Total withdrawn ($)</t>
        </is>
      </c>
      <c r="B12" s="13">
        <f>B5*B7</f>
        <v/>
      </c>
      <c r="H12" s="12" t="inlineStr">
        <is>
          <t xml:space="preserve">    Cell E16:   =MAX(0,B16+C16-D16)</t>
        </is>
      </c>
    </row>
    <row r="13">
      <c r="A13" s="4" t="inlineStr">
        <is>
          <t>Interest earned by the fund ($)</t>
        </is>
      </c>
      <c r="B13" s="13">
        <f>B12-B11</f>
        <v/>
      </c>
      <c r="H13" s="10" t="inlineStr">
        <is>
          <t>Early on the balance is large and earns a lot of interest, so it falls slowly. Later it earns little interest and falls quickly.</t>
        </is>
      </c>
    </row>
    <row r="14"/>
    <row r="15" ht="31.5" customHeight="1">
      <c r="A15" s="7" t="inlineStr">
        <is>
          <t>Period</t>
        </is>
      </c>
      <c r="B15" s="7" t="inlineStr">
        <is>
          <t>Opening balance ($)</t>
        </is>
      </c>
      <c r="C15" s="7" t="inlineStr">
        <is>
          <t>Interest earned ($)</t>
        </is>
      </c>
      <c r="D15" s="7" t="inlineStr">
        <is>
          <t>Withdrawal ($)</t>
        </is>
      </c>
      <c r="E15" s="7" t="inlineStr">
        <is>
          <t>Closing balance ($)</t>
        </is>
      </c>
    </row>
    <row r="16">
      <c r="A16" s="6" t="n">
        <v>1</v>
      </c>
      <c r="B16" s="13">
        <f>$B$11</f>
        <v/>
      </c>
      <c r="C16" s="13">
        <f>B16*$B$6</f>
        <v/>
      </c>
      <c r="D16" s="13">
        <f>IF(A16&lt;=$B$7,$B$5,0)</f>
        <v/>
      </c>
      <c r="E16" s="13">
        <f>MAX(0,B16+C16-D16)</f>
        <v/>
      </c>
    </row>
    <row r="17">
      <c r="A17" s="6" t="n">
        <v>2</v>
      </c>
      <c r="B17" s="13">
        <f>E16</f>
        <v/>
      </c>
      <c r="C17" s="13">
        <f>B17*$B$6</f>
        <v/>
      </c>
      <c r="D17" s="13">
        <f>IF(A17&lt;=$B$7,$B$5,0)</f>
        <v/>
      </c>
      <c r="E17" s="13">
        <f>MAX(0,B17+C17-D17)</f>
        <v/>
      </c>
    </row>
    <row r="18">
      <c r="A18" s="6" t="n">
        <v>3</v>
      </c>
      <c r="B18" s="13">
        <f>E17</f>
        <v/>
      </c>
      <c r="C18" s="13">
        <f>B18*$B$6</f>
        <v/>
      </c>
      <c r="D18" s="13">
        <f>IF(A18&lt;=$B$7,$B$5,0)</f>
        <v/>
      </c>
      <c r="E18" s="13">
        <f>MAX(0,B18+C18-D18)</f>
        <v/>
      </c>
    </row>
    <row r="19">
      <c r="A19" s="6" t="n">
        <v>4</v>
      </c>
      <c r="B19" s="13">
        <f>E18</f>
        <v/>
      </c>
      <c r="C19" s="13">
        <f>B19*$B$6</f>
        <v/>
      </c>
      <c r="D19" s="13">
        <f>IF(A19&lt;=$B$7,$B$5,0)</f>
        <v/>
      </c>
      <c r="E19" s="13">
        <f>MAX(0,B19+C19-D19)</f>
        <v/>
      </c>
    </row>
    <row r="20">
      <c r="A20" s="6" t="n">
        <v>5</v>
      </c>
      <c r="B20" s="13">
        <f>E19</f>
        <v/>
      </c>
      <c r="C20" s="13">
        <f>B20*$B$6</f>
        <v/>
      </c>
      <c r="D20" s="13">
        <f>IF(A20&lt;=$B$7,$B$5,0)</f>
        <v/>
      </c>
      <c r="E20" s="13">
        <f>MAX(0,B20+C20-D20)</f>
        <v/>
      </c>
    </row>
    <row r="21">
      <c r="A21" s="6" t="n">
        <v>6</v>
      </c>
      <c r="B21" s="13">
        <f>E20</f>
        <v/>
      </c>
      <c r="C21" s="13">
        <f>B21*$B$6</f>
        <v/>
      </c>
      <c r="D21" s="13">
        <f>IF(A21&lt;=$B$7,$B$5,0)</f>
        <v/>
      </c>
      <c r="E21" s="13">
        <f>MAX(0,B21+C21-D21)</f>
        <v/>
      </c>
    </row>
    <row r="22">
      <c r="A22" s="6" t="n">
        <v>7</v>
      </c>
      <c r="B22" s="13">
        <f>E21</f>
        <v/>
      </c>
      <c r="C22" s="13">
        <f>B22*$B$6</f>
        <v/>
      </c>
      <c r="D22" s="13">
        <f>IF(A22&lt;=$B$7,$B$5,0)</f>
        <v/>
      </c>
      <c r="E22" s="13">
        <f>MAX(0,B22+C22-D22)</f>
        <v/>
      </c>
    </row>
    <row r="23">
      <c r="A23" s="6" t="n">
        <v>8</v>
      </c>
      <c r="B23" s="13">
        <f>E22</f>
        <v/>
      </c>
      <c r="C23" s="13">
        <f>B23*$B$6</f>
        <v/>
      </c>
      <c r="D23" s="13">
        <f>IF(A23&lt;=$B$7,$B$5,0)</f>
        <v/>
      </c>
      <c r="E23" s="13">
        <f>MAX(0,B23+C23-D23)</f>
        <v/>
      </c>
    </row>
    <row r="24">
      <c r="A24" s="6" t="n">
        <v>9</v>
      </c>
      <c r="B24" s="13">
        <f>E23</f>
        <v/>
      </c>
      <c r="C24" s="13">
        <f>B24*$B$6</f>
        <v/>
      </c>
      <c r="D24" s="13">
        <f>IF(A24&lt;=$B$7,$B$5,0)</f>
        <v/>
      </c>
      <c r="E24" s="13">
        <f>MAX(0,B24+C24-D24)</f>
        <v/>
      </c>
    </row>
    <row r="25">
      <c r="A25" s="6" t="n">
        <v>10</v>
      </c>
      <c r="B25" s="13">
        <f>E24</f>
        <v/>
      </c>
      <c r="C25" s="13">
        <f>B25*$B$6</f>
        <v/>
      </c>
      <c r="D25" s="13">
        <f>IF(A25&lt;=$B$7,$B$5,0)</f>
        <v/>
      </c>
      <c r="E25" s="13">
        <f>MAX(0,B25+C25-D25)</f>
        <v/>
      </c>
    </row>
    <row r="26">
      <c r="A26" s="6" t="n">
        <v>11</v>
      </c>
      <c r="B26" s="13">
        <f>E25</f>
        <v/>
      </c>
      <c r="C26" s="13">
        <f>B26*$B$6</f>
        <v/>
      </c>
      <c r="D26" s="13">
        <f>IF(A26&lt;=$B$7,$B$5,0)</f>
        <v/>
      </c>
      <c r="E26" s="13">
        <f>MAX(0,B26+C26-D26)</f>
        <v/>
      </c>
    </row>
    <row r="27">
      <c r="A27" s="6" t="n">
        <v>12</v>
      </c>
      <c r="B27" s="13">
        <f>E26</f>
        <v/>
      </c>
      <c r="C27" s="13">
        <f>B27*$B$6</f>
        <v/>
      </c>
      <c r="D27" s="13">
        <f>IF(A27&lt;=$B$7,$B$5,0)</f>
        <v/>
      </c>
      <c r="E27" s="13">
        <f>MAX(0,B27+C27-D27)</f>
        <v/>
      </c>
    </row>
    <row r="28">
      <c r="A28" s="6" t="n">
        <v>13</v>
      </c>
      <c r="B28" s="13">
        <f>E27</f>
        <v/>
      </c>
      <c r="C28" s="13">
        <f>B28*$B$6</f>
        <v/>
      </c>
      <c r="D28" s="13">
        <f>IF(A28&lt;=$B$7,$B$5,0)</f>
        <v/>
      </c>
      <c r="E28" s="13">
        <f>MAX(0,B28+C28-D28)</f>
        <v/>
      </c>
    </row>
    <row r="29">
      <c r="A29" s="6" t="n">
        <v>14</v>
      </c>
      <c r="B29" s="13">
        <f>E28</f>
        <v/>
      </c>
      <c r="C29" s="13">
        <f>B29*$B$6</f>
        <v/>
      </c>
      <c r="D29" s="13">
        <f>IF(A29&lt;=$B$7,$B$5,0)</f>
        <v/>
      </c>
      <c r="E29" s="13">
        <f>MAX(0,B29+C29-D29)</f>
        <v/>
      </c>
    </row>
    <row r="30">
      <c r="A30" s="6" t="n">
        <v>15</v>
      </c>
      <c r="B30" s="13">
        <f>E29</f>
        <v/>
      </c>
      <c r="C30" s="13">
        <f>B30*$B$6</f>
        <v/>
      </c>
      <c r="D30" s="13">
        <f>IF(A30&lt;=$B$7,$B$5,0)</f>
        <v/>
      </c>
      <c r="E30" s="13">
        <f>MAX(0,B30+C30-D30)</f>
        <v/>
      </c>
    </row>
    <row r="31">
      <c r="A31" s="6" t="n">
        <v>16</v>
      </c>
      <c r="B31" s="13">
        <f>E30</f>
        <v/>
      </c>
      <c r="C31" s="13">
        <f>B31*$B$6</f>
        <v/>
      </c>
      <c r="D31" s="13">
        <f>IF(A31&lt;=$B$7,$B$5,0)</f>
        <v/>
      </c>
      <c r="E31" s="13">
        <f>MAX(0,B31+C31-D31)</f>
        <v/>
      </c>
    </row>
    <row r="32">
      <c r="A32" s="6" t="n">
        <v>17</v>
      </c>
      <c r="B32" s="13">
        <f>E31</f>
        <v/>
      </c>
      <c r="C32" s="13">
        <f>B32*$B$6</f>
        <v/>
      </c>
      <c r="D32" s="13">
        <f>IF(A32&lt;=$B$7,$B$5,0)</f>
        <v/>
      </c>
      <c r="E32" s="13">
        <f>MAX(0,B32+C32-D32)</f>
        <v/>
      </c>
      <c r="H32" s="3" t="inlineStr">
        <is>
          <t>Try it</t>
        </is>
      </c>
    </row>
    <row r="33">
      <c r="A33" s="6" t="n">
        <v>18</v>
      </c>
      <c r="B33" s="13">
        <f>E32</f>
        <v/>
      </c>
      <c r="C33" s="13">
        <f>B33*$B$6</f>
        <v/>
      </c>
      <c r="D33" s="13">
        <f>IF(A33&lt;=$B$7,$B$5,0)</f>
        <v/>
      </c>
      <c r="E33" s="13">
        <f>MAX(0,B33+C33-D33)</f>
        <v/>
      </c>
      <c r="H33" s="10" t="inlineStr">
        <is>
          <t>1. The retiree wants $40,000 a year instead. How much is needed at the start?</t>
        </is>
      </c>
    </row>
    <row r="34">
      <c r="A34" s="6" t="n">
        <v>19</v>
      </c>
      <c r="B34" s="13">
        <f>E33</f>
        <v/>
      </c>
      <c r="C34" s="13">
        <f>B34*$B$6</f>
        <v/>
      </c>
      <c r="D34" s="13">
        <f>IF(A34&lt;=$B$7,$B$5,0)</f>
        <v/>
      </c>
      <c r="E34" s="13">
        <f>MAX(0,B34+C34-D34)</f>
        <v/>
      </c>
      <c r="H34" s="10" t="inlineStr">
        <is>
          <t>2. Set it back to $30,000. If the fund earned 6% instead of 4%, how much less would be needed?</t>
        </is>
      </c>
    </row>
    <row r="35">
      <c r="A35" s="6" t="n">
        <v>20</v>
      </c>
      <c r="B35" s="13">
        <f>E34</f>
        <v/>
      </c>
      <c r="C35" s="13">
        <f>B35*$B$6</f>
        <v/>
      </c>
      <c r="D35" s="13">
        <f>IF(A35&lt;=$B$7,$B$5,0)</f>
        <v/>
      </c>
      <c r="E35" s="13">
        <f>MAX(0,B35+C35-D35)</f>
        <v/>
      </c>
      <c r="H35" s="10" t="inlineStr">
        <is>
          <t>3. How much interest does the fund earn over the 20 years, and where does it come from?</t>
        </is>
      </c>
    </row>
    <row r="36">
      <c r="A36" s="6" t="n">
        <v>21</v>
      </c>
      <c r="B36" s="13">
        <f>E35</f>
        <v/>
      </c>
      <c r="C36" s="13">
        <f>B36*$B$6</f>
        <v/>
      </c>
      <c r="D36" s="13">
        <f>IF(A36&lt;=$B$7,$B$5,0)</f>
        <v/>
      </c>
      <c r="E36" s="13">
        <f>MAX(0,B36+C36-D36)</f>
        <v/>
      </c>
      <c r="H36" s="2" t="inlineStr">
        <is>
          <t>Set the inputs back to $30,000, 4% and 20 when you finish.</t>
        </is>
      </c>
    </row>
    <row r="37">
      <c r="A37" s="6" t="n">
        <v>22</v>
      </c>
      <c r="B37" s="13">
        <f>E36</f>
        <v/>
      </c>
      <c r="C37" s="13">
        <f>B37*$B$6</f>
        <v/>
      </c>
      <c r="D37" s="13">
        <f>IF(A37&lt;=$B$7,$B$5,0)</f>
        <v/>
      </c>
      <c r="E37" s="13">
        <f>MAX(0,B37+C37-D37)</f>
        <v/>
      </c>
    </row>
    <row r="38">
      <c r="A38" s="6" t="n">
        <v>23</v>
      </c>
      <c r="B38" s="13">
        <f>E37</f>
        <v/>
      </c>
      <c r="C38" s="13">
        <f>B38*$B$6</f>
        <v/>
      </c>
      <c r="D38" s="13">
        <f>IF(A38&lt;=$B$7,$B$5,0)</f>
        <v/>
      </c>
      <c r="E38" s="13">
        <f>MAX(0,B38+C38-D38)</f>
        <v/>
      </c>
    </row>
    <row r="39">
      <c r="A39" s="6" t="n">
        <v>24</v>
      </c>
      <c r="B39" s="13">
        <f>E38</f>
        <v/>
      </c>
      <c r="C39" s="13">
        <f>B39*$B$6</f>
        <v/>
      </c>
      <c r="D39" s="13">
        <f>IF(A39&lt;=$B$7,$B$5,0)</f>
        <v/>
      </c>
      <c r="E39" s="13">
        <f>MAX(0,B39+C39-D39)</f>
        <v/>
      </c>
    </row>
    <row r="40">
      <c r="A40" s="6" t="n">
        <v>25</v>
      </c>
      <c r="B40" s="13">
        <f>E39</f>
        <v/>
      </c>
      <c r="C40" s="13">
        <f>B40*$B$6</f>
        <v/>
      </c>
      <c r="D40" s="13">
        <f>IF(A40&lt;=$B$7,$B$5,0)</f>
        <v/>
      </c>
      <c r="E40" s="13">
        <f>MAX(0,B40+C40-D40)</f>
        <v/>
      </c>
    </row>
    <row r="41">
      <c r="A41" s="6" t="n">
        <v>26</v>
      </c>
      <c r="B41" s="13">
        <f>E40</f>
        <v/>
      </c>
      <c r="C41" s="13">
        <f>B41*$B$6</f>
        <v/>
      </c>
      <c r="D41" s="13">
        <f>IF(A41&lt;=$B$7,$B$5,0)</f>
        <v/>
      </c>
      <c r="E41" s="13">
        <f>MAX(0,B41+C41-D41)</f>
        <v/>
      </c>
    </row>
    <row r="42">
      <c r="A42" s="6" t="n">
        <v>27</v>
      </c>
      <c r="B42" s="13">
        <f>E41</f>
        <v/>
      </c>
      <c r="C42" s="13">
        <f>B42*$B$6</f>
        <v/>
      </c>
      <c r="D42" s="13">
        <f>IF(A42&lt;=$B$7,$B$5,0)</f>
        <v/>
      </c>
      <c r="E42" s="13">
        <f>MAX(0,B42+C42-D42)</f>
        <v/>
      </c>
    </row>
    <row r="43">
      <c r="A43" s="6" t="n">
        <v>28</v>
      </c>
      <c r="B43" s="13">
        <f>E42</f>
        <v/>
      </c>
      <c r="C43" s="13">
        <f>B43*$B$6</f>
        <v/>
      </c>
      <c r="D43" s="13">
        <f>IF(A43&lt;=$B$7,$B$5,0)</f>
        <v/>
      </c>
      <c r="E43" s="13">
        <f>MAX(0,B43+C43-D43)</f>
        <v/>
      </c>
    </row>
    <row r="44">
      <c r="A44" s="6" t="n">
        <v>29</v>
      </c>
      <c r="B44" s="13">
        <f>E43</f>
        <v/>
      </c>
      <c r="C44" s="13">
        <f>B44*$B$6</f>
        <v/>
      </c>
      <c r="D44" s="13">
        <f>IF(A44&lt;=$B$7,$B$5,0)</f>
        <v/>
      </c>
      <c r="E44" s="13">
        <f>MAX(0,B44+C44-D44)</f>
        <v/>
      </c>
    </row>
    <row r="45">
      <c r="A45" s="6" t="n">
        <v>30</v>
      </c>
      <c r="B45" s="13">
        <f>E44</f>
        <v/>
      </c>
      <c r="C45" s="13">
        <f>B45*$B$6</f>
        <v/>
      </c>
      <c r="D45" s="13">
        <f>IF(A45&lt;=$B$7,$B$5,0)</f>
        <v/>
      </c>
      <c r="E45" s="13">
        <f>MAX(0,B45+C45-D45)</f>
        <v/>
      </c>
    </row>
  </sheetData>
  <mergeCells count="12">
    <mergeCell ref="H36:Q36"/>
    <mergeCell ref="H9:Q11"/>
    <mergeCell ref="H5:Q6"/>
    <mergeCell ref="H8:Q8"/>
    <mergeCell ref="H13:Q14"/>
    <mergeCell ref="H34:Q34"/>
    <mergeCell ref="H12:Q12"/>
    <mergeCell ref="H35:Q35"/>
    <mergeCell ref="A2:Q2"/>
    <mergeCell ref="H7:Q7"/>
    <mergeCell ref="H33:Q33"/>
    <mergeCell ref="A1:Q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Q139"/>
  <sheetViews>
    <sheetView showGridLines="0" workbookViewId="0">
      <selection activeCell="A1" sqref="A1"/>
    </sheetView>
  </sheetViews>
  <sheetFormatPr baseColWidth="8" defaultRowHeight="15"/>
  <cols>
    <col width="42" customWidth="1" min="1" max="1"/>
    <col width="17" customWidth="1" min="2" max="2"/>
    <col width="17" customWidth="1" min="3" max="3"/>
    <col width="17" customWidth="1" min="4" max="4"/>
    <col width="17" customWidth="1" min="5" max="5"/>
    <col width="17" customWidth="1" min="6" max="6"/>
    <col width="3" customWidth="1" min="7" max="7"/>
    <col width="11" customWidth="1" min="8" max="8"/>
  </cols>
  <sheetData>
    <row r="1" ht="31.5" customHeight="1">
      <c r="A1" s="1" t="inlineStr">
        <is>
          <t>6   Loan repayments: a loan is an annuity</t>
        </is>
      </c>
    </row>
    <row r="2" ht="30" customHeight="1">
      <c r="A2" s="2" t="inlineStr">
        <is>
          <t>You borrow $35,000 for a car at 7.2% p.a., repaid monthly over 5 years. The amount borrowed is the present value of all the repayments, so the present value interest factor gives the repayment.</t>
        </is>
      </c>
    </row>
    <row r="4">
      <c r="A4" s="3" t="inlineStr">
        <is>
          <t>Inputs – change these</t>
        </is>
      </c>
      <c r="H4" s="3" t="inlineStr">
        <is>
          <t>How it works</t>
        </is>
      </c>
    </row>
    <row r="5">
      <c r="A5" s="4" t="inlineStr">
        <is>
          <t>Amount borrowed, PV ($)</t>
        </is>
      </c>
      <c r="B5" s="9" t="n">
        <v>35000</v>
      </c>
      <c r="H5" s="10" t="inlineStr">
        <is>
          <t>A loan is a present value annuity. The lender gives you the present value now, and you pay it back with equal repayments at the end of each period.</t>
        </is>
      </c>
    </row>
    <row r="6">
      <c r="A6" s="4" t="inlineStr">
        <is>
          <t>Interest rate per year</t>
        </is>
      </c>
      <c r="B6" s="18" t="n">
        <v>0.07199999999999999</v>
      </c>
    </row>
    <row r="7">
      <c r="A7" s="4" t="inlineStr">
        <is>
          <t>Term (years, up to 10)</t>
        </is>
      </c>
      <c r="B7" s="5" t="n">
        <v>5</v>
      </c>
      <c r="H7" s="10" t="inlineStr">
        <is>
          <t>So the repayment is the amount borrowed divided by the present value interest factor:</t>
        </is>
      </c>
    </row>
    <row r="8">
      <c r="A8" s="4" t="inlineStr">
        <is>
          <t>Repayments per year</t>
        </is>
      </c>
      <c r="B8" s="5" t="n">
        <v>12</v>
      </c>
      <c r="H8" s="12" t="inlineStr">
        <is>
          <t xml:space="preserve">    M = PV ÷ factor          Cell B14:   =B5/B13</t>
        </is>
      </c>
    </row>
    <row r="9">
      <c r="H9" s="10" t="inlineStr">
        <is>
          <t>PMT is the built-in repayment function. It gives the same answer; the minus sign in front of B5 makes the repayment positive.</t>
        </is>
      </c>
    </row>
    <row r="10">
      <c r="A10" s="3" t="inlineStr">
        <is>
          <t>Results</t>
        </is>
      </c>
    </row>
    <row r="11">
      <c r="A11" s="4" t="inlineStr">
        <is>
          <t>Interest rate per period, r</t>
        </is>
      </c>
      <c r="B11" s="19">
        <f>B6/B8</f>
        <v/>
      </c>
      <c r="H11" s="12" t="inlineStr">
        <is>
          <t xml:space="preserve">    Cell B15:   =PMT(B11,B12,-B5)</t>
        </is>
      </c>
    </row>
    <row r="12">
      <c r="A12" s="4" t="inlineStr">
        <is>
          <t>Number of repayments, n</t>
        </is>
      </c>
      <c r="B12" s="6">
        <f>B7*B8</f>
        <v/>
      </c>
      <c r="H12" s="10" t="inlineStr">
        <is>
          <t>The table shows the reducing balance. Early repayments are mostly interest; later ones mostly pay off the amount borrowed. It has room for 120 repayments.</t>
        </is>
      </c>
    </row>
    <row r="13">
      <c r="A13" s="4" t="inlineStr">
        <is>
          <t>Present value interest factor</t>
        </is>
      </c>
      <c r="B13" s="15">
        <f>(1-(1+B11)^-B12)/B11</f>
        <v/>
      </c>
    </row>
    <row r="14">
      <c r="A14" s="4" t="inlineStr">
        <is>
          <t>Repayment, M = PV ÷ factor ($)</t>
        </is>
      </c>
      <c r="B14" s="13">
        <f>B5/B13</f>
        <v/>
      </c>
    </row>
    <row r="15">
      <c r="A15" s="4" t="inlineStr">
        <is>
          <t>Check with PMT ($)</t>
        </is>
      </c>
      <c r="B15" s="13">
        <f>PMT(B11,B12,-B5)</f>
        <v/>
      </c>
    </row>
    <row r="16">
      <c r="A16" s="4" t="inlineStr">
        <is>
          <t>Total repaid ($)</t>
        </is>
      </c>
      <c r="B16" s="13">
        <f>B14*B12</f>
        <v/>
      </c>
    </row>
    <row r="17">
      <c r="A17" s="4" t="inlineStr">
        <is>
          <t>Total interest paid ($)</t>
        </is>
      </c>
      <c r="B17" s="13">
        <f>B16-B5</f>
        <v/>
      </c>
    </row>
    <row r="19" ht="31.5" customHeight="1">
      <c r="A19" s="7" t="inlineStr">
        <is>
          <t>Repayment number</t>
        </is>
      </c>
      <c r="B19" s="7" t="inlineStr">
        <is>
          <t>Opening balance ($)</t>
        </is>
      </c>
      <c r="C19" s="7" t="inlineStr">
        <is>
          <t>Interest charged ($)</t>
        </is>
      </c>
      <c r="D19" s="7" t="inlineStr">
        <is>
          <t>Repayment ($)</t>
        </is>
      </c>
      <c r="E19" s="7" t="inlineStr">
        <is>
          <t>Closing balance ($)</t>
        </is>
      </c>
    </row>
    <row r="20">
      <c r="A20" s="6" t="n">
        <v>1</v>
      </c>
      <c r="B20" s="13">
        <f>$B$5</f>
        <v/>
      </c>
      <c r="C20" s="13">
        <f>B20*$B$11</f>
        <v/>
      </c>
      <c r="D20" s="13">
        <f>IF(A20&lt;=$B$12,$B$14,0)</f>
        <v/>
      </c>
      <c r="E20" s="13">
        <f>MAX(0,B20+C20-D20)</f>
        <v/>
      </c>
    </row>
    <row r="21">
      <c r="A21" s="6" t="n">
        <v>2</v>
      </c>
      <c r="B21" s="13">
        <f>E20</f>
        <v/>
      </c>
      <c r="C21" s="13">
        <f>B21*$B$11</f>
        <v/>
      </c>
      <c r="D21" s="13">
        <f>IF(A21&lt;=$B$12,$B$14,0)</f>
        <v/>
      </c>
      <c r="E21" s="13">
        <f>MAX(0,B21+C21-D21)</f>
        <v/>
      </c>
    </row>
    <row r="22">
      <c r="A22" s="6" t="n">
        <v>3</v>
      </c>
      <c r="B22" s="13">
        <f>E21</f>
        <v/>
      </c>
      <c r="C22" s="13">
        <f>B22*$B$11</f>
        <v/>
      </c>
      <c r="D22" s="13">
        <f>IF(A22&lt;=$B$12,$B$14,0)</f>
        <v/>
      </c>
      <c r="E22" s="13">
        <f>MAX(0,B22+C22-D22)</f>
        <v/>
      </c>
    </row>
    <row r="23">
      <c r="A23" s="6" t="n">
        <v>4</v>
      </c>
      <c r="B23" s="13">
        <f>E22</f>
        <v/>
      </c>
      <c r="C23" s="13">
        <f>B23*$B$11</f>
        <v/>
      </c>
      <c r="D23" s="13">
        <f>IF(A23&lt;=$B$12,$B$14,0)</f>
        <v/>
      </c>
      <c r="E23" s="13">
        <f>MAX(0,B23+C23-D23)</f>
        <v/>
      </c>
    </row>
    <row r="24">
      <c r="A24" s="6" t="n">
        <v>5</v>
      </c>
      <c r="B24" s="13">
        <f>E23</f>
        <v/>
      </c>
      <c r="C24" s="13">
        <f>B24*$B$11</f>
        <v/>
      </c>
      <c r="D24" s="13">
        <f>IF(A24&lt;=$B$12,$B$14,0)</f>
        <v/>
      </c>
      <c r="E24" s="13">
        <f>MAX(0,B24+C24-D24)</f>
        <v/>
      </c>
    </row>
    <row r="25">
      <c r="A25" s="6" t="n">
        <v>6</v>
      </c>
      <c r="B25" s="13">
        <f>E24</f>
        <v/>
      </c>
      <c r="C25" s="13">
        <f>B25*$B$11</f>
        <v/>
      </c>
      <c r="D25" s="13">
        <f>IF(A25&lt;=$B$12,$B$14,0)</f>
        <v/>
      </c>
      <c r="E25" s="13">
        <f>MAX(0,B25+C25-D25)</f>
        <v/>
      </c>
    </row>
    <row r="26">
      <c r="A26" s="6" t="n">
        <v>7</v>
      </c>
      <c r="B26" s="13">
        <f>E25</f>
        <v/>
      </c>
      <c r="C26" s="13">
        <f>B26*$B$11</f>
        <v/>
      </c>
      <c r="D26" s="13">
        <f>IF(A26&lt;=$B$12,$B$14,0)</f>
        <v/>
      </c>
      <c r="E26" s="13">
        <f>MAX(0,B26+C26-D26)</f>
        <v/>
      </c>
    </row>
    <row r="27">
      <c r="A27" s="6" t="n">
        <v>8</v>
      </c>
      <c r="B27" s="13">
        <f>E26</f>
        <v/>
      </c>
      <c r="C27" s="13">
        <f>B27*$B$11</f>
        <v/>
      </c>
      <c r="D27" s="13">
        <f>IF(A27&lt;=$B$12,$B$14,0)</f>
        <v/>
      </c>
      <c r="E27" s="13">
        <f>MAX(0,B27+C27-D27)</f>
        <v/>
      </c>
    </row>
    <row r="28">
      <c r="A28" s="6" t="n">
        <v>9</v>
      </c>
      <c r="B28" s="13">
        <f>E27</f>
        <v/>
      </c>
      <c r="C28" s="13">
        <f>B28*$B$11</f>
        <v/>
      </c>
      <c r="D28" s="13">
        <f>IF(A28&lt;=$B$12,$B$14,0)</f>
        <v/>
      </c>
      <c r="E28" s="13">
        <f>MAX(0,B28+C28-D28)</f>
        <v/>
      </c>
    </row>
    <row r="29">
      <c r="A29" s="6" t="n">
        <v>10</v>
      </c>
      <c r="B29" s="13">
        <f>E28</f>
        <v/>
      </c>
      <c r="C29" s="13">
        <f>B29*$B$11</f>
        <v/>
      </c>
      <c r="D29" s="13">
        <f>IF(A29&lt;=$B$12,$B$14,0)</f>
        <v/>
      </c>
      <c r="E29" s="13">
        <f>MAX(0,B29+C29-D29)</f>
        <v/>
      </c>
    </row>
    <row r="30">
      <c r="A30" s="6" t="n">
        <v>11</v>
      </c>
      <c r="B30" s="13">
        <f>E29</f>
        <v/>
      </c>
      <c r="C30" s="13">
        <f>B30*$B$11</f>
        <v/>
      </c>
      <c r="D30" s="13">
        <f>IF(A30&lt;=$B$12,$B$14,0)</f>
        <v/>
      </c>
      <c r="E30" s="13">
        <f>MAX(0,B30+C30-D30)</f>
        <v/>
      </c>
    </row>
    <row r="31">
      <c r="A31" s="6" t="n">
        <v>12</v>
      </c>
      <c r="B31" s="13">
        <f>E30</f>
        <v/>
      </c>
      <c r="C31" s="13">
        <f>B31*$B$11</f>
        <v/>
      </c>
      <c r="D31" s="13">
        <f>IF(A31&lt;=$B$12,$B$14,0)</f>
        <v/>
      </c>
      <c r="E31" s="13">
        <f>MAX(0,B31+C31-D31)</f>
        <v/>
      </c>
      <c r="H31" s="3" t="inlineStr">
        <is>
          <t>Try it</t>
        </is>
      </c>
    </row>
    <row r="32">
      <c r="A32" s="6" t="n">
        <v>13</v>
      </c>
      <c r="B32" s="13">
        <f>E31</f>
        <v/>
      </c>
      <c r="C32" s="13">
        <f>B32*$B$11</f>
        <v/>
      </c>
      <c r="D32" s="13">
        <f>IF(A32&lt;=$B$12,$B$14,0)</f>
        <v/>
      </c>
      <c r="E32" s="13">
        <f>MAX(0,B32+C32-D32)</f>
        <v/>
      </c>
      <c r="H32" s="10" t="inlineStr">
        <is>
          <t>1. Change the term to 4 years. What is the monthly repayment, and how much interest is paid in total?</t>
        </is>
      </c>
    </row>
    <row r="33">
      <c r="A33" s="6" t="n">
        <v>14</v>
      </c>
      <c r="B33" s="13">
        <f>E32</f>
        <v/>
      </c>
      <c r="C33" s="13">
        <f>B33*$B$11</f>
        <v/>
      </c>
      <c r="D33" s="13">
        <f>IF(A33&lt;=$B$12,$B$14,0)</f>
        <v/>
      </c>
      <c r="E33" s="13">
        <f>MAX(0,B33+C33-D33)</f>
        <v/>
      </c>
    </row>
    <row r="34">
      <c r="A34" s="6" t="n">
        <v>15</v>
      </c>
      <c r="B34" s="13">
        <f>E33</f>
        <v/>
      </c>
      <c r="C34" s="13">
        <f>B34*$B$11</f>
        <v/>
      </c>
      <c r="D34" s="13">
        <f>IF(A34&lt;=$B$12,$B$14,0)</f>
        <v/>
      </c>
      <c r="E34" s="13">
        <f>MAX(0,B34+C34-D34)</f>
        <v/>
      </c>
      <c r="H34" s="10" t="inlineStr">
        <is>
          <t>2. Set the term back to 5 years. What is the monthly repayment if the rate is 9% p.a.?</t>
        </is>
      </c>
    </row>
    <row r="35">
      <c r="A35" s="6" t="n">
        <v>16</v>
      </c>
      <c r="B35" s="13">
        <f>E34</f>
        <v/>
      </c>
      <c r="C35" s="13">
        <f>B35*$B$11</f>
        <v/>
      </c>
      <c r="D35" s="13">
        <f>IF(A35&lt;=$B$12,$B$14,0)</f>
        <v/>
      </c>
      <c r="E35" s="13">
        <f>MAX(0,B35+C35-D35)</f>
        <v/>
      </c>
      <c r="H35" s="10" t="inlineStr">
        <is>
          <t>3. Look at column C. Why does the interest charged fall every month even though the rate does not change?</t>
        </is>
      </c>
    </row>
    <row r="36">
      <c r="A36" s="6" t="n">
        <v>17</v>
      </c>
      <c r="B36" s="13">
        <f>E35</f>
        <v/>
      </c>
      <c r="C36" s="13">
        <f>B36*$B$11</f>
        <v/>
      </c>
      <c r="D36" s="13">
        <f>IF(A36&lt;=$B$12,$B$14,0)</f>
        <v/>
      </c>
      <c r="E36" s="13">
        <f>MAX(0,B36+C36-D36)</f>
        <v/>
      </c>
    </row>
    <row r="37">
      <c r="A37" s="6" t="n">
        <v>18</v>
      </c>
      <c r="B37" s="13">
        <f>E36</f>
        <v/>
      </c>
      <c r="C37" s="13">
        <f>B37*$B$11</f>
        <v/>
      </c>
      <c r="D37" s="13">
        <f>IF(A37&lt;=$B$12,$B$14,0)</f>
        <v/>
      </c>
      <c r="E37" s="13">
        <f>MAX(0,B37+C37-D37)</f>
        <v/>
      </c>
      <c r="H37" s="2" t="inlineStr">
        <is>
          <t>Set the inputs back to $35,000, 7.2%, 5 years and 12 when you finish.</t>
        </is>
      </c>
    </row>
    <row r="38">
      <c r="A38" s="6" t="n">
        <v>19</v>
      </c>
      <c r="B38" s="13">
        <f>E37</f>
        <v/>
      </c>
      <c r="C38" s="13">
        <f>B38*$B$11</f>
        <v/>
      </c>
      <c r="D38" s="13">
        <f>IF(A38&lt;=$B$12,$B$14,0)</f>
        <v/>
      </c>
      <c r="E38" s="13">
        <f>MAX(0,B38+C38-D38)</f>
        <v/>
      </c>
    </row>
    <row r="39">
      <c r="A39" s="6" t="n">
        <v>20</v>
      </c>
      <c r="B39" s="13">
        <f>E38</f>
        <v/>
      </c>
      <c r="C39" s="13">
        <f>B39*$B$11</f>
        <v/>
      </c>
      <c r="D39" s="13">
        <f>IF(A39&lt;=$B$12,$B$14,0)</f>
        <v/>
      </c>
      <c r="E39" s="13">
        <f>MAX(0,B39+C39-D39)</f>
        <v/>
      </c>
    </row>
    <row r="40">
      <c r="A40" s="6" t="n">
        <v>21</v>
      </c>
      <c r="B40" s="13">
        <f>E39</f>
        <v/>
      </c>
      <c r="C40" s="13">
        <f>B40*$B$11</f>
        <v/>
      </c>
      <c r="D40" s="13">
        <f>IF(A40&lt;=$B$12,$B$14,0)</f>
        <v/>
      </c>
      <c r="E40" s="13">
        <f>MAX(0,B40+C40-D40)</f>
        <v/>
      </c>
    </row>
    <row r="41">
      <c r="A41" s="6" t="n">
        <v>22</v>
      </c>
      <c r="B41" s="13">
        <f>E40</f>
        <v/>
      </c>
      <c r="C41" s="13">
        <f>B41*$B$11</f>
        <v/>
      </c>
      <c r="D41" s="13">
        <f>IF(A41&lt;=$B$12,$B$14,0)</f>
        <v/>
      </c>
      <c r="E41" s="13">
        <f>MAX(0,B41+C41-D41)</f>
        <v/>
      </c>
    </row>
    <row r="42">
      <c r="A42" s="6" t="n">
        <v>23</v>
      </c>
      <c r="B42" s="13">
        <f>E41</f>
        <v/>
      </c>
      <c r="C42" s="13">
        <f>B42*$B$11</f>
        <v/>
      </c>
      <c r="D42" s="13">
        <f>IF(A42&lt;=$B$12,$B$14,0)</f>
        <v/>
      </c>
      <c r="E42" s="13">
        <f>MAX(0,B42+C42-D42)</f>
        <v/>
      </c>
    </row>
    <row r="43">
      <c r="A43" s="6" t="n">
        <v>24</v>
      </c>
      <c r="B43" s="13">
        <f>E42</f>
        <v/>
      </c>
      <c r="C43" s="13">
        <f>B43*$B$11</f>
        <v/>
      </c>
      <c r="D43" s="13">
        <f>IF(A43&lt;=$B$12,$B$14,0)</f>
        <v/>
      </c>
      <c r="E43" s="13">
        <f>MAX(0,B43+C43-D43)</f>
        <v/>
      </c>
    </row>
    <row r="44">
      <c r="A44" s="6" t="n">
        <v>25</v>
      </c>
      <c r="B44" s="13">
        <f>E43</f>
        <v/>
      </c>
      <c r="C44" s="13">
        <f>B44*$B$11</f>
        <v/>
      </c>
      <c r="D44" s="13">
        <f>IF(A44&lt;=$B$12,$B$14,0)</f>
        <v/>
      </c>
      <c r="E44" s="13">
        <f>MAX(0,B44+C44-D44)</f>
        <v/>
      </c>
    </row>
    <row r="45">
      <c r="A45" s="6" t="n">
        <v>26</v>
      </c>
      <c r="B45" s="13">
        <f>E44</f>
        <v/>
      </c>
      <c r="C45" s="13">
        <f>B45*$B$11</f>
        <v/>
      </c>
      <c r="D45" s="13">
        <f>IF(A45&lt;=$B$12,$B$14,0)</f>
        <v/>
      </c>
      <c r="E45" s="13">
        <f>MAX(0,B45+C45-D45)</f>
        <v/>
      </c>
    </row>
    <row r="46">
      <c r="A46" s="6" t="n">
        <v>27</v>
      </c>
      <c r="B46" s="13">
        <f>E45</f>
        <v/>
      </c>
      <c r="C46" s="13">
        <f>B46*$B$11</f>
        <v/>
      </c>
      <c r="D46" s="13">
        <f>IF(A46&lt;=$B$12,$B$14,0)</f>
        <v/>
      </c>
      <c r="E46" s="13">
        <f>MAX(0,B46+C46-D46)</f>
        <v/>
      </c>
    </row>
    <row r="47">
      <c r="A47" s="6" t="n">
        <v>28</v>
      </c>
      <c r="B47" s="13">
        <f>E46</f>
        <v/>
      </c>
      <c r="C47" s="13">
        <f>B47*$B$11</f>
        <v/>
      </c>
      <c r="D47" s="13">
        <f>IF(A47&lt;=$B$12,$B$14,0)</f>
        <v/>
      </c>
      <c r="E47" s="13">
        <f>MAX(0,B47+C47-D47)</f>
        <v/>
      </c>
    </row>
    <row r="48">
      <c r="A48" s="6" t="n">
        <v>29</v>
      </c>
      <c r="B48" s="13">
        <f>E47</f>
        <v/>
      </c>
      <c r="C48" s="13">
        <f>B48*$B$11</f>
        <v/>
      </c>
      <c r="D48" s="13">
        <f>IF(A48&lt;=$B$12,$B$14,0)</f>
        <v/>
      </c>
      <c r="E48" s="13">
        <f>MAX(0,B48+C48-D48)</f>
        <v/>
      </c>
    </row>
    <row r="49">
      <c r="A49" s="6" t="n">
        <v>30</v>
      </c>
      <c r="B49" s="13">
        <f>E48</f>
        <v/>
      </c>
      <c r="C49" s="13">
        <f>B49*$B$11</f>
        <v/>
      </c>
      <c r="D49" s="13">
        <f>IF(A49&lt;=$B$12,$B$14,0)</f>
        <v/>
      </c>
      <c r="E49" s="13">
        <f>MAX(0,B49+C49-D49)</f>
        <v/>
      </c>
    </row>
    <row r="50">
      <c r="A50" s="6" t="n">
        <v>31</v>
      </c>
      <c r="B50" s="13">
        <f>E49</f>
        <v/>
      </c>
      <c r="C50" s="13">
        <f>B50*$B$11</f>
        <v/>
      </c>
      <c r="D50" s="13">
        <f>IF(A50&lt;=$B$12,$B$14,0)</f>
        <v/>
      </c>
      <c r="E50" s="13">
        <f>MAX(0,B50+C50-D50)</f>
        <v/>
      </c>
    </row>
    <row r="51">
      <c r="A51" s="6" t="n">
        <v>32</v>
      </c>
      <c r="B51" s="13">
        <f>E50</f>
        <v/>
      </c>
      <c r="C51" s="13">
        <f>B51*$B$11</f>
        <v/>
      </c>
      <c r="D51" s="13">
        <f>IF(A51&lt;=$B$12,$B$14,0)</f>
        <v/>
      </c>
      <c r="E51" s="13">
        <f>MAX(0,B51+C51-D51)</f>
        <v/>
      </c>
    </row>
    <row r="52">
      <c r="A52" s="6" t="n">
        <v>33</v>
      </c>
      <c r="B52" s="13">
        <f>E51</f>
        <v/>
      </c>
      <c r="C52" s="13">
        <f>B52*$B$11</f>
        <v/>
      </c>
      <c r="D52" s="13">
        <f>IF(A52&lt;=$B$12,$B$14,0)</f>
        <v/>
      </c>
      <c r="E52" s="13">
        <f>MAX(0,B52+C52-D52)</f>
        <v/>
      </c>
    </row>
    <row r="53">
      <c r="A53" s="6" t="n">
        <v>34</v>
      </c>
      <c r="B53" s="13">
        <f>E52</f>
        <v/>
      </c>
      <c r="C53" s="13">
        <f>B53*$B$11</f>
        <v/>
      </c>
      <c r="D53" s="13">
        <f>IF(A53&lt;=$B$12,$B$14,0)</f>
        <v/>
      </c>
      <c r="E53" s="13">
        <f>MAX(0,B53+C53-D53)</f>
        <v/>
      </c>
    </row>
    <row r="54">
      <c r="A54" s="6" t="n">
        <v>35</v>
      </c>
      <c r="B54" s="13">
        <f>E53</f>
        <v/>
      </c>
      <c r="C54" s="13">
        <f>B54*$B$11</f>
        <v/>
      </c>
      <c r="D54" s="13">
        <f>IF(A54&lt;=$B$12,$B$14,0)</f>
        <v/>
      </c>
      <c r="E54" s="13">
        <f>MAX(0,B54+C54-D54)</f>
        <v/>
      </c>
    </row>
    <row r="55">
      <c r="A55" s="6" t="n">
        <v>36</v>
      </c>
      <c r="B55" s="13">
        <f>E54</f>
        <v/>
      </c>
      <c r="C55" s="13">
        <f>B55*$B$11</f>
        <v/>
      </c>
      <c r="D55" s="13">
        <f>IF(A55&lt;=$B$12,$B$14,0)</f>
        <v/>
      </c>
      <c r="E55" s="13">
        <f>MAX(0,B55+C55-D55)</f>
        <v/>
      </c>
    </row>
    <row r="56">
      <c r="A56" s="6" t="n">
        <v>37</v>
      </c>
      <c r="B56" s="13">
        <f>E55</f>
        <v/>
      </c>
      <c r="C56" s="13">
        <f>B56*$B$11</f>
        <v/>
      </c>
      <c r="D56" s="13">
        <f>IF(A56&lt;=$B$12,$B$14,0)</f>
        <v/>
      </c>
      <c r="E56" s="13">
        <f>MAX(0,B56+C56-D56)</f>
        <v/>
      </c>
    </row>
    <row r="57">
      <c r="A57" s="6" t="n">
        <v>38</v>
      </c>
      <c r="B57" s="13">
        <f>E56</f>
        <v/>
      </c>
      <c r="C57" s="13">
        <f>B57*$B$11</f>
        <v/>
      </c>
      <c r="D57" s="13">
        <f>IF(A57&lt;=$B$12,$B$14,0)</f>
        <v/>
      </c>
      <c r="E57" s="13">
        <f>MAX(0,B57+C57-D57)</f>
        <v/>
      </c>
    </row>
    <row r="58">
      <c r="A58" s="6" t="n">
        <v>39</v>
      </c>
      <c r="B58" s="13">
        <f>E57</f>
        <v/>
      </c>
      <c r="C58" s="13">
        <f>B58*$B$11</f>
        <v/>
      </c>
      <c r="D58" s="13">
        <f>IF(A58&lt;=$B$12,$B$14,0)</f>
        <v/>
      </c>
      <c r="E58" s="13">
        <f>MAX(0,B58+C58-D58)</f>
        <v/>
      </c>
    </row>
    <row r="59">
      <c r="A59" s="6" t="n">
        <v>40</v>
      </c>
      <c r="B59" s="13">
        <f>E58</f>
        <v/>
      </c>
      <c r="C59" s="13">
        <f>B59*$B$11</f>
        <v/>
      </c>
      <c r="D59" s="13">
        <f>IF(A59&lt;=$B$12,$B$14,0)</f>
        <v/>
      </c>
      <c r="E59" s="13">
        <f>MAX(0,B59+C59-D59)</f>
        <v/>
      </c>
    </row>
    <row r="60">
      <c r="A60" s="6" t="n">
        <v>41</v>
      </c>
      <c r="B60" s="13">
        <f>E59</f>
        <v/>
      </c>
      <c r="C60" s="13">
        <f>B60*$B$11</f>
        <v/>
      </c>
      <c r="D60" s="13">
        <f>IF(A60&lt;=$B$12,$B$14,0)</f>
        <v/>
      </c>
      <c r="E60" s="13">
        <f>MAX(0,B60+C60-D60)</f>
        <v/>
      </c>
    </row>
    <row r="61">
      <c r="A61" s="6" t="n">
        <v>42</v>
      </c>
      <c r="B61" s="13">
        <f>E60</f>
        <v/>
      </c>
      <c r="C61" s="13">
        <f>B61*$B$11</f>
        <v/>
      </c>
      <c r="D61" s="13">
        <f>IF(A61&lt;=$B$12,$B$14,0)</f>
        <v/>
      </c>
      <c r="E61" s="13">
        <f>MAX(0,B61+C61-D61)</f>
        <v/>
      </c>
    </row>
    <row r="62">
      <c r="A62" s="6" t="n">
        <v>43</v>
      </c>
      <c r="B62" s="13">
        <f>E61</f>
        <v/>
      </c>
      <c r="C62" s="13">
        <f>B62*$B$11</f>
        <v/>
      </c>
      <c r="D62" s="13">
        <f>IF(A62&lt;=$B$12,$B$14,0)</f>
        <v/>
      </c>
      <c r="E62" s="13">
        <f>MAX(0,B62+C62-D62)</f>
        <v/>
      </c>
    </row>
    <row r="63">
      <c r="A63" s="6" t="n">
        <v>44</v>
      </c>
      <c r="B63" s="13">
        <f>E62</f>
        <v/>
      </c>
      <c r="C63" s="13">
        <f>B63*$B$11</f>
        <v/>
      </c>
      <c r="D63" s="13">
        <f>IF(A63&lt;=$B$12,$B$14,0)</f>
        <v/>
      </c>
      <c r="E63" s="13">
        <f>MAX(0,B63+C63-D63)</f>
        <v/>
      </c>
    </row>
    <row r="64">
      <c r="A64" s="6" t="n">
        <v>45</v>
      </c>
      <c r="B64" s="13">
        <f>E63</f>
        <v/>
      </c>
      <c r="C64" s="13">
        <f>B64*$B$11</f>
        <v/>
      </c>
      <c r="D64" s="13">
        <f>IF(A64&lt;=$B$12,$B$14,0)</f>
        <v/>
      </c>
      <c r="E64" s="13">
        <f>MAX(0,B64+C64-D64)</f>
        <v/>
      </c>
    </row>
    <row r="65">
      <c r="A65" s="6" t="n">
        <v>46</v>
      </c>
      <c r="B65" s="13">
        <f>E64</f>
        <v/>
      </c>
      <c r="C65" s="13">
        <f>B65*$B$11</f>
        <v/>
      </c>
      <c r="D65" s="13">
        <f>IF(A65&lt;=$B$12,$B$14,0)</f>
        <v/>
      </c>
      <c r="E65" s="13">
        <f>MAX(0,B65+C65-D65)</f>
        <v/>
      </c>
    </row>
    <row r="66">
      <c r="A66" s="6" t="n">
        <v>47</v>
      </c>
      <c r="B66" s="13">
        <f>E65</f>
        <v/>
      </c>
      <c r="C66" s="13">
        <f>B66*$B$11</f>
        <v/>
      </c>
      <c r="D66" s="13">
        <f>IF(A66&lt;=$B$12,$B$14,0)</f>
        <v/>
      </c>
      <c r="E66" s="13">
        <f>MAX(0,B66+C66-D66)</f>
        <v/>
      </c>
    </row>
    <row r="67">
      <c r="A67" s="6" t="n">
        <v>48</v>
      </c>
      <c r="B67" s="13">
        <f>E66</f>
        <v/>
      </c>
      <c r="C67" s="13">
        <f>B67*$B$11</f>
        <v/>
      </c>
      <c r="D67" s="13">
        <f>IF(A67&lt;=$B$12,$B$14,0)</f>
        <v/>
      </c>
      <c r="E67" s="13">
        <f>MAX(0,B67+C67-D67)</f>
        <v/>
      </c>
    </row>
    <row r="68">
      <c r="A68" s="6" t="n">
        <v>49</v>
      </c>
      <c r="B68" s="13">
        <f>E67</f>
        <v/>
      </c>
      <c r="C68" s="13">
        <f>B68*$B$11</f>
        <v/>
      </c>
      <c r="D68" s="13">
        <f>IF(A68&lt;=$B$12,$B$14,0)</f>
        <v/>
      </c>
      <c r="E68" s="13">
        <f>MAX(0,B68+C68-D68)</f>
        <v/>
      </c>
    </row>
    <row r="69">
      <c r="A69" s="6" t="n">
        <v>50</v>
      </c>
      <c r="B69" s="13">
        <f>E68</f>
        <v/>
      </c>
      <c r="C69" s="13">
        <f>B69*$B$11</f>
        <v/>
      </c>
      <c r="D69" s="13">
        <f>IF(A69&lt;=$B$12,$B$14,0)</f>
        <v/>
      </c>
      <c r="E69" s="13">
        <f>MAX(0,B69+C69-D69)</f>
        <v/>
      </c>
    </row>
    <row r="70">
      <c r="A70" s="6" t="n">
        <v>51</v>
      </c>
      <c r="B70" s="13">
        <f>E69</f>
        <v/>
      </c>
      <c r="C70" s="13">
        <f>B70*$B$11</f>
        <v/>
      </c>
      <c r="D70" s="13">
        <f>IF(A70&lt;=$B$12,$B$14,0)</f>
        <v/>
      </c>
      <c r="E70" s="13">
        <f>MAX(0,B70+C70-D70)</f>
        <v/>
      </c>
    </row>
    <row r="71">
      <c r="A71" s="6" t="n">
        <v>52</v>
      </c>
      <c r="B71" s="13">
        <f>E70</f>
        <v/>
      </c>
      <c r="C71" s="13">
        <f>B71*$B$11</f>
        <v/>
      </c>
      <c r="D71" s="13">
        <f>IF(A71&lt;=$B$12,$B$14,0)</f>
        <v/>
      </c>
      <c r="E71" s="13">
        <f>MAX(0,B71+C71-D71)</f>
        <v/>
      </c>
    </row>
    <row r="72">
      <c r="A72" s="6" t="n">
        <v>53</v>
      </c>
      <c r="B72" s="13">
        <f>E71</f>
        <v/>
      </c>
      <c r="C72" s="13">
        <f>B72*$B$11</f>
        <v/>
      </c>
      <c r="D72" s="13">
        <f>IF(A72&lt;=$B$12,$B$14,0)</f>
        <v/>
      </c>
      <c r="E72" s="13">
        <f>MAX(0,B72+C72-D72)</f>
        <v/>
      </c>
    </row>
    <row r="73">
      <c r="A73" s="6" t="n">
        <v>54</v>
      </c>
      <c r="B73" s="13">
        <f>E72</f>
        <v/>
      </c>
      <c r="C73" s="13">
        <f>B73*$B$11</f>
        <v/>
      </c>
      <c r="D73" s="13">
        <f>IF(A73&lt;=$B$12,$B$14,0)</f>
        <v/>
      </c>
      <c r="E73" s="13">
        <f>MAX(0,B73+C73-D73)</f>
        <v/>
      </c>
    </row>
    <row r="74">
      <c r="A74" s="6" t="n">
        <v>55</v>
      </c>
      <c r="B74" s="13">
        <f>E73</f>
        <v/>
      </c>
      <c r="C74" s="13">
        <f>B74*$B$11</f>
        <v/>
      </c>
      <c r="D74" s="13">
        <f>IF(A74&lt;=$B$12,$B$14,0)</f>
        <v/>
      </c>
      <c r="E74" s="13">
        <f>MAX(0,B74+C74-D74)</f>
        <v/>
      </c>
    </row>
    <row r="75">
      <c r="A75" s="6" t="n">
        <v>56</v>
      </c>
      <c r="B75" s="13">
        <f>E74</f>
        <v/>
      </c>
      <c r="C75" s="13">
        <f>B75*$B$11</f>
        <v/>
      </c>
      <c r="D75" s="13">
        <f>IF(A75&lt;=$B$12,$B$14,0)</f>
        <v/>
      </c>
      <c r="E75" s="13">
        <f>MAX(0,B75+C75-D75)</f>
        <v/>
      </c>
    </row>
    <row r="76">
      <c r="A76" s="6" t="n">
        <v>57</v>
      </c>
      <c r="B76" s="13">
        <f>E75</f>
        <v/>
      </c>
      <c r="C76" s="13">
        <f>B76*$B$11</f>
        <v/>
      </c>
      <c r="D76" s="13">
        <f>IF(A76&lt;=$B$12,$B$14,0)</f>
        <v/>
      </c>
      <c r="E76" s="13">
        <f>MAX(0,B76+C76-D76)</f>
        <v/>
      </c>
    </row>
    <row r="77">
      <c r="A77" s="6" t="n">
        <v>58</v>
      </c>
      <c r="B77" s="13">
        <f>E76</f>
        <v/>
      </c>
      <c r="C77" s="13">
        <f>B77*$B$11</f>
        <v/>
      </c>
      <c r="D77" s="13">
        <f>IF(A77&lt;=$B$12,$B$14,0)</f>
        <v/>
      </c>
      <c r="E77" s="13">
        <f>MAX(0,B77+C77-D77)</f>
        <v/>
      </c>
    </row>
    <row r="78">
      <c r="A78" s="6" t="n">
        <v>59</v>
      </c>
      <c r="B78" s="13">
        <f>E77</f>
        <v/>
      </c>
      <c r="C78" s="13">
        <f>B78*$B$11</f>
        <v/>
      </c>
      <c r="D78" s="13">
        <f>IF(A78&lt;=$B$12,$B$14,0)</f>
        <v/>
      </c>
      <c r="E78" s="13">
        <f>MAX(0,B78+C78-D78)</f>
        <v/>
      </c>
    </row>
    <row r="79">
      <c r="A79" s="6" t="n">
        <v>60</v>
      </c>
      <c r="B79" s="13">
        <f>E78</f>
        <v/>
      </c>
      <c r="C79" s="13">
        <f>B79*$B$11</f>
        <v/>
      </c>
      <c r="D79" s="13">
        <f>IF(A79&lt;=$B$12,$B$14,0)</f>
        <v/>
      </c>
      <c r="E79" s="13">
        <f>MAX(0,B79+C79-D79)</f>
        <v/>
      </c>
    </row>
    <row r="80">
      <c r="A80" s="6" t="n">
        <v>61</v>
      </c>
      <c r="B80" s="13">
        <f>E79</f>
        <v/>
      </c>
      <c r="C80" s="13">
        <f>B80*$B$11</f>
        <v/>
      </c>
      <c r="D80" s="13">
        <f>IF(A80&lt;=$B$12,$B$14,0)</f>
        <v/>
      </c>
      <c r="E80" s="13">
        <f>MAX(0,B80+C80-D80)</f>
        <v/>
      </c>
    </row>
    <row r="81">
      <c r="A81" s="6" t="n">
        <v>62</v>
      </c>
      <c r="B81" s="13">
        <f>E80</f>
        <v/>
      </c>
      <c r="C81" s="13">
        <f>B81*$B$11</f>
        <v/>
      </c>
      <c r="D81" s="13">
        <f>IF(A81&lt;=$B$12,$B$14,0)</f>
        <v/>
      </c>
      <c r="E81" s="13">
        <f>MAX(0,B81+C81-D81)</f>
        <v/>
      </c>
    </row>
    <row r="82">
      <c r="A82" s="6" t="n">
        <v>63</v>
      </c>
      <c r="B82" s="13">
        <f>E81</f>
        <v/>
      </c>
      <c r="C82" s="13">
        <f>B82*$B$11</f>
        <v/>
      </c>
      <c r="D82" s="13">
        <f>IF(A82&lt;=$B$12,$B$14,0)</f>
        <v/>
      </c>
      <c r="E82" s="13">
        <f>MAX(0,B82+C82-D82)</f>
        <v/>
      </c>
    </row>
    <row r="83">
      <c r="A83" s="6" t="n">
        <v>64</v>
      </c>
      <c r="B83" s="13">
        <f>E82</f>
        <v/>
      </c>
      <c r="C83" s="13">
        <f>B83*$B$11</f>
        <v/>
      </c>
      <c r="D83" s="13">
        <f>IF(A83&lt;=$B$12,$B$14,0)</f>
        <v/>
      </c>
      <c r="E83" s="13">
        <f>MAX(0,B83+C83-D83)</f>
        <v/>
      </c>
    </row>
    <row r="84">
      <c r="A84" s="6" t="n">
        <v>65</v>
      </c>
      <c r="B84" s="13">
        <f>E83</f>
        <v/>
      </c>
      <c r="C84" s="13">
        <f>B84*$B$11</f>
        <v/>
      </c>
      <c r="D84" s="13">
        <f>IF(A84&lt;=$B$12,$B$14,0)</f>
        <v/>
      </c>
      <c r="E84" s="13">
        <f>MAX(0,B84+C84-D84)</f>
        <v/>
      </c>
    </row>
    <row r="85">
      <c r="A85" s="6" t="n">
        <v>66</v>
      </c>
      <c r="B85" s="13">
        <f>E84</f>
        <v/>
      </c>
      <c r="C85" s="13">
        <f>B85*$B$11</f>
        <v/>
      </c>
      <c r="D85" s="13">
        <f>IF(A85&lt;=$B$12,$B$14,0)</f>
        <v/>
      </c>
      <c r="E85" s="13">
        <f>MAX(0,B85+C85-D85)</f>
        <v/>
      </c>
    </row>
    <row r="86">
      <c r="A86" s="6" t="n">
        <v>67</v>
      </c>
      <c r="B86" s="13">
        <f>E85</f>
        <v/>
      </c>
      <c r="C86" s="13">
        <f>B86*$B$11</f>
        <v/>
      </c>
      <c r="D86" s="13">
        <f>IF(A86&lt;=$B$12,$B$14,0)</f>
        <v/>
      </c>
      <c r="E86" s="13">
        <f>MAX(0,B86+C86-D86)</f>
        <v/>
      </c>
    </row>
    <row r="87">
      <c r="A87" s="6" t="n">
        <v>68</v>
      </c>
      <c r="B87" s="13">
        <f>E86</f>
        <v/>
      </c>
      <c r="C87" s="13">
        <f>B87*$B$11</f>
        <v/>
      </c>
      <c r="D87" s="13">
        <f>IF(A87&lt;=$B$12,$B$14,0)</f>
        <v/>
      </c>
      <c r="E87" s="13">
        <f>MAX(0,B87+C87-D87)</f>
        <v/>
      </c>
    </row>
    <row r="88">
      <c r="A88" s="6" t="n">
        <v>69</v>
      </c>
      <c r="B88" s="13">
        <f>E87</f>
        <v/>
      </c>
      <c r="C88" s="13">
        <f>B88*$B$11</f>
        <v/>
      </c>
      <c r="D88" s="13">
        <f>IF(A88&lt;=$B$12,$B$14,0)</f>
        <v/>
      </c>
      <c r="E88" s="13">
        <f>MAX(0,B88+C88-D88)</f>
        <v/>
      </c>
    </row>
    <row r="89">
      <c r="A89" s="6" t="n">
        <v>70</v>
      </c>
      <c r="B89" s="13">
        <f>E88</f>
        <v/>
      </c>
      <c r="C89" s="13">
        <f>B89*$B$11</f>
        <v/>
      </c>
      <c r="D89" s="13">
        <f>IF(A89&lt;=$B$12,$B$14,0)</f>
        <v/>
      </c>
      <c r="E89" s="13">
        <f>MAX(0,B89+C89-D89)</f>
        <v/>
      </c>
    </row>
    <row r="90">
      <c r="A90" s="6" t="n">
        <v>71</v>
      </c>
      <c r="B90" s="13">
        <f>E89</f>
        <v/>
      </c>
      <c r="C90" s="13">
        <f>B90*$B$11</f>
        <v/>
      </c>
      <c r="D90" s="13">
        <f>IF(A90&lt;=$B$12,$B$14,0)</f>
        <v/>
      </c>
      <c r="E90" s="13">
        <f>MAX(0,B90+C90-D90)</f>
        <v/>
      </c>
    </row>
    <row r="91">
      <c r="A91" s="6" t="n">
        <v>72</v>
      </c>
      <c r="B91" s="13">
        <f>E90</f>
        <v/>
      </c>
      <c r="C91" s="13">
        <f>B91*$B$11</f>
        <v/>
      </c>
      <c r="D91" s="13">
        <f>IF(A91&lt;=$B$12,$B$14,0)</f>
        <v/>
      </c>
      <c r="E91" s="13">
        <f>MAX(0,B91+C91-D91)</f>
        <v/>
      </c>
    </row>
    <row r="92">
      <c r="A92" s="6" t="n">
        <v>73</v>
      </c>
      <c r="B92" s="13">
        <f>E91</f>
        <v/>
      </c>
      <c r="C92" s="13">
        <f>B92*$B$11</f>
        <v/>
      </c>
      <c r="D92" s="13">
        <f>IF(A92&lt;=$B$12,$B$14,0)</f>
        <v/>
      </c>
      <c r="E92" s="13">
        <f>MAX(0,B92+C92-D92)</f>
        <v/>
      </c>
    </row>
    <row r="93">
      <c r="A93" s="6" t="n">
        <v>74</v>
      </c>
      <c r="B93" s="13">
        <f>E92</f>
        <v/>
      </c>
      <c r="C93" s="13">
        <f>B93*$B$11</f>
        <v/>
      </c>
      <c r="D93" s="13">
        <f>IF(A93&lt;=$B$12,$B$14,0)</f>
        <v/>
      </c>
      <c r="E93" s="13">
        <f>MAX(0,B93+C93-D93)</f>
        <v/>
      </c>
    </row>
    <row r="94">
      <c r="A94" s="6" t="n">
        <v>75</v>
      </c>
      <c r="B94" s="13">
        <f>E93</f>
        <v/>
      </c>
      <c r="C94" s="13">
        <f>B94*$B$11</f>
        <v/>
      </c>
      <c r="D94" s="13">
        <f>IF(A94&lt;=$B$12,$B$14,0)</f>
        <v/>
      </c>
      <c r="E94" s="13">
        <f>MAX(0,B94+C94-D94)</f>
        <v/>
      </c>
    </row>
    <row r="95">
      <c r="A95" s="6" t="n">
        <v>76</v>
      </c>
      <c r="B95" s="13">
        <f>E94</f>
        <v/>
      </c>
      <c r="C95" s="13">
        <f>B95*$B$11</f>
        <v/>
      </c>
      <c r="D95" s="13">
        <f>IF(A95&lt;=$B$12,$B$14,0)</f>
        <v/>
      </c>
      <c r="E95" s="13">
        <f>MAX(0,B95+C95-D95)</f>
        <v/>
      </c>
    </row>
    <row r="96">
      <c r="A96" s="6" t="n">
        <v>77</v>
      </c>
      <c r="B96" s="13">
        <f>E95</f>
        <v/>
      </c>
      <c r="C96" s="13">
        <f>B96*$B$11</f>
        <v/>
      </c>
      <c r="D96" s="13">
        <f>IF(A96&lt;=$B$12,$B$14,0)</f>
        <v/>
      </c>
      <c r="E96" s="13">
        <f>MAX(0,B96+C96-D96)</f>
        <v/>
      </c>
    </row>
    <row r="97">
      <c r="A97" s="6" t="n">
        <v>78</v>
      </c>
      <c r="B97" s="13">
        <f>E96</f>
        <v/>
      </c>
      <c r="C97" s="13">
        <f>B97*$B$11</f>
        <v/>
      </c>
      <c r="D97" s="13">
        <f>IF(A97&lt;=$B$12,$B$14,0)</f>
        <v/>
      </c>
      <c r="E97" s="13">
        <f>MAX(0,B97+C97-D97)</f>
        <v/>
      </c>
    </row>
    <row r="98">
      <c r="A98" s="6" t="n">
        <v>79</v>
      </c>
      <c r="B98" s="13">
        <f>E97</f>
        <v/>
      </c>
      <c r="C98" s="13">
        <f>B98*$B$11</f>
        <v/>
      </c>
      <c r="D98" s="13">
        <f>IF(A98&lt;=$B$12,$B$14,0)</f>
        <v/>
      </c>
      <c r="E98" s="13">
        <f>MAX(0,B98+C98-D98)</f>
        <v/>
      </c>
    </row>
    <row r="99">
      <c r="A99" s="6" t="n">
        <v>80</v>
      </c>
      <c r="B99" s="13">
        <f>E98</f>
        <v/>
      </c>
      <c r="C99" s="13">
        <f>B99*$B$11</f>
        <v/>
      </c>
      <c r="D99" s="13">
        <f>IF(A99&lt;=$B$12,$B$14,0)</f>
        <v/>
      </c>
      <c r="E99" s="13">
        <f>MAX(0,B99+C99-D99)</f>
        <v/>
      </c>
    </row>
    <row r="100">
      <c r="A100" s="6" t="n">
        <v>81</v>
      </c>
      <c r="B100" s="13">
        <f>E99</f>
        <v/>
      </c>
      <c r="C100" s="13">
        <f>B100*$B$11</f>
        <v/>
      </c>
      <c r="D100" s="13">
        <f>IF(A100&lt;=$B$12,$B$14,0)</f>
        <v/>
      </c>
      <c r="E100" s="13">
        <f>MAX(0,B100+C100-D100)</f>
        <v/>
      </c>
    </row>
    <row r="101">
      <c r="A101" s="6" t="n">
        <v>82</v>
      </c>
      <c r="B101" s="13">
        <f>E100</f>
        <v/>
      </c>
      <c r="C101" s="13">
        <f>B101*$B$11</f>
        <v/>
      </c>
      <c r="D101" s="13">
        <f>IF(A101&lt;=$B$12,$B$14,0)</f>
        <v/>
      </c>
      <c r="E101" s="13">
        <f>MAX(0,B101+C101-D101)</f>
        <v/>
      </c>
    </row>
    <row r="102">
      <c r="A102" s="6" t="n">
        <v>83</v>
      </c>
      <c r="B102" s="13">
        <f>E101</f>
        <v/>
      </c>
      <c r="C102" s="13">
        <f>B102*$B$11</f>
        <v/>
      </c>
      <c r="D102" s="13">
        <f>IF(A102&lt;=$B$12,$B$14,0)</f>
        <v/>
      </c>
      <c r="E102" s="13">
        <f>MAX(0,B102+C102-D102)</f>
        <v/>
      </c>
    </row>
    <row r="103">
      <c r="A103" s="6" t="n">
        <v>84</v>
      </c>
      <c r="B103" s="13">
        <f>E102</f>
        <v/>
      </c>
      <c r="C103" s="13">
        <f>B103*$B$11</f>
        <v/>
      </c>
      <c r="D103" s="13">
        <f>IF(A103&lt;=$B$12,$B$14,0)</f>
        <v/>
      </c>
      <c r="E103" s="13">
        <f>MAX(0,B103+C103-D103)</f>
        <v/>
      </c>
    </row>
    <row r="104">
      <c r="A104" s="6" t="n">
        <v>85</v>
      </c>
      <c r="B104" s="13">
        <f>E103</f>
        <v/>
      </c>
      <c r="C104" s="13">
        <f>B104*$B$11</f>
        <v/>
      </c>
      <c r="D104" s="13">
        <f>IF(A104&lt;=$B$12,$B$14,0)</f>
        <v/>
      </c>
      <c r="E104" s="13">
        <f>MAX(0,B104+C104-D104)</f>
        <v/>
      </c>
    </row>
    <row r="105">
      <c r="A105" s="6" t="n">
        <v>86</v>
      </c>
      <c r="B105" s="13">
        <f>E104</f>
        <v/>
      </c>
      <c r="C105" s="13">
        <f>B105*$B$11</f>
        <v/>
      </c>
      <c r="D105" s="13">
        <f>IF(A105&lt;=$B$12,$B$14,0)</f>
        <v/>
      </c>
      <c r="E105" s="13">
        <f>MAX(0,B105+C105-D105)</f>
        <v/>
      </c>
    </row>
    <row r="106">
      <c r="A106" s="6" t="n">
        <v>87</v>
      </c>
      <c r="B106" s="13">
        <f>E105</f>
        <v/>
      </c>
      <c r="C106" s="13">
        <f>B106*$B$11</f>
        <v/>
      </c>
      <c r="D106" s="13">
        <f>IF(A106&lt;=$B$12,$B$14,0)</f>
        <v/>
      </c>
      <c r="E106" s="13">
        <f>MAX(0,B106+C106-D106)</f>
        <v/>
      </c>
    </row>
    <row r="107">
      <c r="A107" s="6" t="n">
        <v>88</v>
      </c>
      <c r="B107" s="13">
        <f>E106</f>
        <v/>
      </c>
      <c r="C107" s="13">
        <f>B107*$B$11</f>
        <v/>
      </c>
      <c r="D107" s="13">
        <f>IF(A107&lt;=$B$12,$B$14,0)</f>
        <v/>
      </c>
      <c r="E107" s="13">
        <f>MAX(0,B107+C107-D107)</f>
        <v/>
      </c>
    </row>
    <row r="108">
      <c r="A108" s="6" t="n">
        <v>89</v>
      </c>
      <c r="B108" s="13">
        <f>E107</f>
        <v/>
      </c>
      <c r="C108" s="13">
        <f>B108*$B$11</f>
        <v/>
      </c>
      <c r="D108" s="13">
        <f>IF(A108&lt;=$B$12,$B$14,0)</f>
        <v/>
      </c>
      <c r="E108" s="13">
        <f>MAX(0,B108+C108-D108)</f>
        <v/>
      </c>
    </row>
    <row r="109">
      <c r="A109" s="6" t="n">
        <v>90</v>
      </c>
      <c r="B109" s="13">
        <f>E108</f>
        <v/>
      </c>
      <c r="C109" s="13">
        <f>B109*$B$11</f>
        <v/>
      </c>
      <c r="D109" s="13">
        <f>IF(A109&lt;=$B$12,$B$14,0)</f>
        <v/>
      </c>
      <c r="E109" s="13">
        <f>MAX(0,B109+C109-D109)</f>
        <v/>
      </c>
    </row>
    <row r="110">
      <c r="A110" s="6" t="n">
        <v>91</v>
      </c>
      <c r="B110" s="13">
        <f>E109</f>
        <v/>
      </c>
      <c r="C110" s="13">
        <f>B110*$B$11</f>
        <v/>
      </c>
      <c r="D110" s="13">
        <f>IF(A110&lt;=$B$12,$B$14,0)</f>
        <v/>
      </c>
      <c r="E110" s="13">
        <f>MAX(0,B110+C110-D110)</f>
        <v/>
      </c>
    </row>
    <row r="111">
      <c r="A111" s="6" t="n">
        <v>92</v>
      </c>
      <c r="B111" s="13">
        <f>E110</f>
        <v/>
      </c>
      <c r="C111" s="13">
        <f>B111*$B$11</f>
        <v/>
      </c>
      <c r="D111" s="13">
        <f>IF(A111&lt;=$B$12,$B$14,0)</f>
        <v/>
      </c>
      <c r="E111" s="13">
        <f>MAX(0,B111+C111-D111)</f>
        <v/>
      </c>
    </row>
    <row r="112">
      <c r="A112" s="6" t="n">
        <v>93</v>
      </c>
      <c r="B112" s="13">
        <f>E111</f>
        <v/>
      </c>
      <c r="C112" s="13">
        <f>B112*$B$11</f>
        <v/>
      </c>
      <c r="D112" s="13">
        <f>IF(A112&lt;=$B$12,$B$14,0)</f>
        <v/>
      </c>
      <c r="E112" s="13">
        <f>MAX(0,B112+C112-D112)</f>
        <v/>
      </c>
    </row>
    <row r="113">
      <c r="A113" s="6" t="n">
        <v>94</v>
      </c>
      <c r="B113" s="13">
        <f>E112</f>
        <v/>
      </c>
      <c r="C113" s="13">
        <f>B113*$B$11</f>
        <v/>
      </c>
      <c r="D113" s="13">
        <f>IF(A113&lt;=$B$12,$B$14,0)</f>
        <v/>
      </c>
      <c r="E113" s="13">
        <f>MAX(0,B113+C113-D113)</f>
        <v/>
      </c>
    </row>
    <row r="114">
      <c r="A114" s="6" t="n">
        <v>95</v>
      </c>
      <c r="B114" s="13">
        <f>E113</f>
        <v/>
      </c>
      <c r="C114" s="13">
        <f>B114*$B$11</f>
        <v/>
      </c>
      <c r="D114" s="13">
        <f>IF(A114&lt;=$B$12,$B$14,0)</f>
        <v/>
      </c>
      <c r="E114" s="13">
        <f>MAX(0,B114+C114-D114)</f>
        <v/>
      </c>
    </row>
    <row r="115">
      <c r="A115" s="6" t="n">
        <v>96</v>
      </c>
      <c r="B115" s="13">
        <f>E114</f>
        <v/>
      </c>
      <c r="C115" s="13">
        <f>B115*$B$11</f>
        <v/>
      </c>
      <c r="D115" s="13">
        <f>IF(A115&lt;=$B$12,$B$14,0)</f>
        <v/>
      </c>
      <c r="E115" s="13">
        <f>MAX(0,B115+C115-D115)</f>
        <v/>
      </c>
    </row>
    <row r="116">
      <c r="A116" s="6" t="n">
        <v>97</v>
      </c>
      <c r="B116" s="13">
        <f>E115</f>
        <v/>
      </c>
      <c r="C116" s="13">
        <f>B116*$B$11</f>
        <v/>
      </c>
      <c r="D116" s="13">
        <f>IF(A116&lt;=$B$12,$B$14,0)</f>
        <v/>
      </c>
      <c r="E116" s="13">
        <f>MAX(0,B116+C116-D116)</f>
        <v/>
      </c>
    </row>
    <row r="117">
      <c r="A117" s="6" t="n">
        <v>98</v>
      </c>
      <c r="B117" s="13">
        <f>E116</f>
        <v/>
      </c>
      <c r="C117" s="13">
        <f>B117*$B$11</f>
        <v/>
      </c>
      <c r="D117" s="13">
        <f>IF(A117&lt;=$B$12,$B$14,0)</f>
        <v/>
      </c>
      <c r="E117" s="13">
        <f>MAX(0,B117+C117-D117)</f>
        <v/>
      </c>
    </row>
    <row r="118">
      <c r="A118" s="6" t="n">
        <v>99</v>
      </c>
      <c r="B118" s="13">
        <f>E117</f>
        <v/>
      </c>
      <c r="C118" s="13">
        <f>B118*$B$11</f>
        <v/>
      </c>
      <c r="D118" s="13">
        <f>IF(A118&lt;=$B$12,$B$14,0)</f>
        <v/>
      </c>
      <c r="E118" s="13">
        <f>MAX(0,B118+C118-D118)</f>
        <v/>
      </c>
    </row>
    <row r="119">
      <c r="A119" s="6" t="n">
        <v>100</v>
      </c>
      <c r="B119" s="13">
        <f>E118</f>
        <v/>
      </c>
      <c r="C119" s="13">
        <f>B119*$B$11</f>
        <v/>
      </c>
      <c r="D119" s="13">
        <f>IF(A119&lt;=$B$12,$B$14,0)</f>
        <v/>
      </c>
      <c r="E119" s="13">
        <f>MAX(0,B119+C119-D119)</f>
        <v/>
      </c>
    </row>
    <row r="120">
      <c r="A120" s="6" t="n">
        <v>101</v>
      </c>
      <c r="B120" s="13">
        <f>E119</f>
        <v/>
      </c>
      <c r="C120" s="13">
        <f>B120*$B$11</f>
        <v/>
      </c>
      <c r="D120" s="13">
        <f>IF(A120&lt;=$B$12,$B$14,0)</f>
        <v/>
      </c>
      <c r="E120" s="13">
        <f>MAX(0,B120+C120-D120)</f>
        <v/>
      </c>
    </row>
    <row r="121">
      <c r="A121" s="6" t="n">
        <v>102</v>
      </c>
      <c r="B121" s="13">
        <f>E120</f>
        <v/>
      </c>
      <c r="C121" s="13">
        <f>B121*$B$11</f>
        <v/>
      </c>
      <c r="D121" s="13">
        <f>IF(A121&lt;=$B$12,$B$14,0)</f>
        <v/>
      </c>
      <c r="E121" s="13">
        <f>MAX(0,B121+C121-D121)</f>
        <v/>
      </c>
    </row>
    <row r="122">
      <c r="A122" s="6" t="n">
        <v>103</v>
      </c>
      <c r="B122" s="13">
        <f>E121</f>
        <v/>
      </c>
      <c r="C122" s="13">
        <f>B122*$B$11</f>
        <v/>
      </c>
      <c r="D122" s="13">
        <f>IF(A122&lt;=$B$12,$B$14,0)</f>
        <v/>
      </c>
      <c r="E122" s="13">
        <f>MAX(0,B122+C122-D122)</f>
        <v/>
      </c>
    </row>
    <row r="123">
      <c r="A123" s="6" t="n">
        <v>104</v>
      </c>
      <c r="B123" s="13">
        <f>E122</f>
        <v/>
      </c>
      <c r="C123" s="13">
        <f>B123*$B$11</f>
        <v/>
      </c>
      <c r="D123" s="13">
        <f>IF(A123&lt;=$B$12,$B$14,0)</f>
        <v/>
      </c>
      <c r="E123" s="13">
        <f>MAX(0,B123+C123-D123)</f>
        <v/>
      </c>
    </row>
    <row r="124">
      <c r="A124" s="6" t="n">
        <v>105</v>
      </c>
      <c r="B124" s="13">
        <f>E123</f>
        <v/>
      </c>
      <c r="C124" s="13">
        <f>B124*$B$11</f>
        <v/>
      </c>
      <c r="D124" s="13">
        <f>IF(A124&lt;=$B$12,$B$14,0)</f>
        <v/>
      </c>
      <c r="E124" s="13">
        <f>MAX(0,B124+C124-D124)</f>
        <v/>
      </c>
    </row>
    <row r="125">
      <c r="A125" s="6" t="n">
        <v>106</v>
      </c>
      <c r="B125" s="13">
        <f>E124</f>
        <v/>
      </c>
      <c r="C125" s="13">
        <f>B125*$B$11</f>
        <v/>
      </c>
      <c r="D125" s="13">
        <f>IF(A125&lt;=$B$12,$B$14,0)</f>
        <v/>
      </c>
      <c r="E125" s="13">
        <f>MAX(0,B125+C125-D125)</f>
        <v/>
      </c>
    </row>
    <row r="126">
      <c r="A126" s="6" t="n">
        <v>107</v>
      </c>
      <c r="B126" s="13">
        <f>E125</f>
        <v/>
      </c>
      <c r="C126" s="13">
        <f>B126*$B$11</f>
        <v/>
      </c>
      <c r="D126" s="13">
        <f>IF(A126&lt;=$B$12,$B$14,0)</f>
        <v/>
      </c>
      <c r="E126" s="13">
        <f>MAX(0,B126+C126-D126)</f>
        <v/>
      </c>
    </row>
    <row r="127">
      <c r="A127" s="6" t="n">
        <v>108</v>
      </c>
      <c r="B127" s="13">
        <f>E126</f>
        <v/>
      </c>
      <c r="C127" s="13">
        <f>B127*$B$11</f>
        <v/>
      </c>
      <c r="D127" s="13">
        <f>IF(A127&lt;=$B$12,$B$14,0)</f>
        <v/>
      </c>
      <c r="E127" s="13">
        <f>MAX(0,B127+C127-D127)</f>
        <v/>
      </c>
    </row>
    <row r="128">
      <c r="A128" s="6" t="n">
        <v>109</v>
      </c>
      <c r="B128" s="13">
        <f>E127</f>
        <v/>
      </c>
      <c r="C128" s="13">
        <f>B128*$B$11</f>
        <v/>
      </c>
      <c r="D128" s="13">
        <f>IF(A128&lt;=$B$12,$B$14,0)</f>
        <v/>
      </c>
      <c r="E128" s="13">
        <f>MAX(0,B128+C128-D128)</f>
        <v/>
      </c>
    </row>
    <row r="129">
      <c r="A129" s="6" t="n">
        <v>110</v>
      </c>
      <c r="B129" s="13">
        <f>E128</f>
        <v/>
      </c>
      <c r="C129" s="13">
        <f>B129*$B$11</f>
        <v/>
      </c>
      <c r="D129" s="13">
        <f>IF(A129&lt;=$B$12,$B$14,0)</f>
        <v/>
      </c>
      <c r="E129" s="13">
        <f>MAX(0,B129+C129-D129)</f>
        <v/>
      </c>
    </row>
    <row r="130">
      <c r="A130" s="6" t="n">
        <v>111</v>
      </c>
      <c r="B130" s="13">
        <f>E129</f>
        <v/>
      </c>
      <c r="C130" s="13">
        <f>B130*$B$11</f>
        <v/>
      </c>
      <c r="D130" s="13">
        <f>IF(A130&lt;=$B$12,$B$14,0)</f>
        <v/>
      </c>
      <c r="E130" s="13">
        <f>MAX(0,B130+C130-D130)</f>
        <v/>
      </c>
    </row>
    <row r="131">
      <c r="A131" s="6" t="n">
        <v>112</v>
      </c>
      <c r="B131" s="13">
        <f>E130</f>
        <v/>
      </c>
      <c r="C131" s="13">
        <f>B131*$B$11</f>
        <v/>
      </c>
      <c r="D131" s="13">
        <f>IF(A131&lt;=$B$12,$B$14,0)</f>
        <v/>
      </c>
      <c r="E131" s="13">
        <f>MAX(0,B131+C131-D131)</f>
        <v/>
      </c>
    </row>
    <row r="132">
      <c r="A132" s="6" t="n">
        <v>113</v>
      </c>
      <c r="B132" s="13">
        <f>E131</f>
        <v/>
      </c>
      <c r="C132" s="13">
        <f>B132*$B$11</f>
        <v/>
      </c>
      <c r="D132" s="13">
        <f>IF(A132&lt;=$B$12,$B$14,0)</f>
        <v/>
      </c>
      <c r="E132" s="13">
        <f>MAX(0,B132+C132-D132)</f>
        <v/>
      </c>
    </row>
    <row r="133">
      <c r="A133" s="6" t="n">
        <v>114</v>
      </c>
      <c r="B133" s="13">
        <f>E132</f>
        <v/>
      </c>
      <c r="C133" s="13">
        <f>B133*$B$11</f>
        <v/>
      </c>
      <c r="D133" s="13">
        <f>IF(A133&lt;=$B$12,$B$14,0)</f>
        <v/>
      </c>
      <c r="E133" s="13">
        <f>MAX(0,B133+C133-D133)</f>
        <v/>
      </c>
    </row>
    <row r="134">
      <c r="A134" s="6" t="n">
        <v>115</v>
      </c>
      <c r="B134" s="13">
        <f>E133</f>
        <v/>
      </c>
      <c r="C134" s="13">
        <f>B134*$B$11</f>
        <v/>
      </c>
      <c r="D134" s="13">
        <f>IF(A134&lt;=$B$12,$B$14,0)</f>
        <v/>
      </c>
      <c r="E134" s="13">
        <f>MAX(0,B134+C134-D134)</f>
        <v/>
      </c>
    </row>
    <row r="135">
      <c r="A135" s="6" t="n">
        <v>116</v>
      </c>
      <c r="B135" s="13">
        <f>E134</f>
        <v/>
      </c>
      <c r="C135" s="13">
        <f>B135*$B$11</f>
        <v/>
      </c>
      <c r="D135" s="13">
        <f>IF(A135&lt;=$B$12,$B$14,0)</f>
        <v/>
      </c>
      <c r="E135" s="13">
        <f>MAX(0,B135+C135-D135)</f>
        <v/>
      </c>
    </row>
    <row r="136">
      <c r="A136" s="6" t="n">
        <v>117</v>
      </c>
      <c r="B136" s="13">
        <f>E135</f>
        <v/>
      </c>
      <c r="C136" s="13">
        <f>B136*$B$11</f>
        <v/>
      </c>
      <c r="D136" s="13">
        <f>IF(A136&lt;=$B$12,$B$14,0)</f>
        <v/>
      </c>
      <c r="E136" s="13">
        <f>MAX(0,B136+C136-D136)</f>
        <v/>
      </c>
    </row>
    <row r="137">
      <c r="A137" s="6" t="n">
        <v>118</v>
      </c>
      <c r="B137" s="13">
        <f>E136</f>
        <v/>
      </c>
      <c r="C137" s="13">
        <f>B137*$B$11</f>
        <v/>
      </c>
      <c r="D137" s="13">
        <f>IF(A137&lt;=$B$12,$B$14,0)</f>
        <v/>
      </c>
      <c r="E137" s="13">
        <f>MAX(0,B137+C137-D137)</f>
        <v/>
      </c>
    </row>
    <row r="138">
      <c r="A138" s="6" t="n">
        <v>119</v>
      </c>
      <c r="B138" s="13">
        <f>E137</f>
        <v/>
      </c>
      <c r="C138" s="13">
        <f>B138*$B$11</f>
        <v/>
      </c>
      <c r="D138" s="13">
        <f>IF(A138&lt;=$B$12,$B$14,0)</f>
        <v/>
      </c>
      <c r="E138" s="13">
        <f>MAX(0,B138+C138-D138)</f>
        <v/>
      </c>
    </row>
    <row r="139">
      <c r="A139" s="6" t="n">
        <v>120</v>
      </c>
      <c r="B139" s="13">
        <f>E138</f>
        <v/>
      </c>
      <c r="C139" s="13">
        <f>B139*$B$11</f>
        <v/>
      </c>
      <c r="D139" s="13">
        <f>IF(A139&lt;=$B$12,$B$14,0)</f>
        <v/>
      </c>
      <c r="E139" s="13">
        <f>MAX(0,B139+C139-D139)</f>
        <v/>
      </c>
    </row>
  </sheetData>
  <mergeCells count="12">
    <mergeCell ref="H37:Q37"/>
    <mergeCell ref="H5:Q6"/>
    <mergeCell ref="H8:Q8"/>
    <mergeCell ref="H35:Q36"/>
    <mergeCell ref="H34:Q34"/>
    <mergeCell ref="A2:Q2"/>
    <mergeCell ref="H9:Q10"/>
    <mergeCell ref="H12:Q13"/>
    <mergeCell ref="H32:Q33"/>
    <mergeCell ref="H11:Q11"/>
    <mergeCell ref="H7:Q7"/>
    <mergeCell ref="A1:Q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26" customWidth="1" min="1" max="1"/>
    <col width="8" customWidth="1" min="2" max="2"/>
    <col width="120" customWidth="1" min="3" max="3"/>
  </cols>
  <sheetData>
    <row r="1" ht="31.5" customHeight="1">
      <c r="A1" s="1" t="inlineStr">
        <is>
          <t>Try it – answers</t>
        </is>
      </c>
    </row>
    <row r="2" ht="30" customHeight="1">
      <c r="A2" s="2" t="inlineStr">
        <is>
          <t>Have a go at each task before you look. Answers assume all other inputs are at their starting values.</t>
        </is>
      </c>
    </row>
    <row r="4" ht="15" customHeight="1">
      <c r="A4" s="7" t="inlineStr">
        <is>
          <t>Tab</t>
        </is>
      </c>
      <c r="B4" s="7" t="inlineStr">
        <is>
          <t>Task</t>
        </is>
      </c>
      <c r="C4" s="7" t="inlineStr">
        <is>
          <t>Answer</t>
        </is>
      </c>
    </row>
    <row r="5" ht="15" customHeight="1">
      <c r="A5" s="20" t="inlineStr">
        <is>
          <t>1 Annuity table</t>
        </is>
      </c>
      <c r="B5" s="21" t="n">
        <v>1</v>
      </c>
      <c r="C5" s="10" t="inlineStr">
        <is>
          <t>$99,197.86 (it was $66,131.91). Increasing the contribution by 50% increases the future value by exactly 50%.</t>
        </is>
      </c>
    </row>
    <row r="6" ht="15" customHeight="1">
      <c r="A6" s="20" t="inlineStr">
        <is>
          <t>1 Annuity table</t>
        </is>
      </c>
      <c r="B6" s="21" t="n">
        <v>2</v>
      </c>
      <c r="C6" s="10" t="inlineStr">
        <is>
          <t>$81,990.98, of which $41,990.98 is interest (the contributions total $40,000).</t>
        </is>
      </c>
    </row>
    <row r="7" ht="30" customHeight="1">
      <c r="A7" s="20" t="inlineStr">
        <is>
          <t>1 Annuity table</t>
        </is>
      </c>
      <c r="B7" s="21" t="n">
        <v>3</v>
      </c>
      <c r="C7" s="10" t="inlineStr">
        <is>
          <t>Interest is calculated on the opening balance, and the balance grows every period – from the new contribution and from the interest already earned. A bigger balance earns more interest.</t>
        </is>
      </c>
    </row>
    <row r="8" ht="15" customHeight="1">
      <c r="A8" s="20" t="inlineStr">
        <is>
          <t>2 Interest factor tables</t>
        </is>
      </c>
      <c r="B8" s="21" t="n">
        <v>1</v>
      </c>
      <c r="C8" s="10" t="inlineStr">
        <is>
          <t>13.1808</t>
        </is>
      </c>
    </row>
    <row r="9" ht="15" customHeight="1">
      <c r="A9" s="20" t="inlineStr">
        <is>
          <t>2 Interest factor tables</t>
        </is>
      </c>
      <c r="B9" s="21" t="n">
        <v>2</v>
      </c>
      <c r="C9" s="10" t="inlineStr">
        <is>
          <t>Factor 36.4593, so FV = 800 × 36.4593 = $29,167.41.</t>
        </is>
      </c>
    </row>
    <row r="10" ht="30" customHeight="1">
      <c r="A10" s="20" t="inlineStr">
        <is>
          <t>2 Interest factor tables</t>
        </is>
      </c>
      <c r="B10" s="21" t="n">
        <v>3</v>
      </c>
      <c r="C10" s="10" t="inlineStr">
        <is>
          <t>At 1% the factor is 34.78; at 10% it is 164.49. Ten times the rate gives over four times the factor, because over 30 periods the interest compounds on itself many times.</t>
        </is>
      </c>
    </row>
    <row r="11" ht="15" customHeight="1">
      <c r="A11" s="20" t="inlineStr">
        <is>
          <t>3 Contribution needed</t>
        </is>
      </c>
      <c r="B11" s="21" t="n">
        <v>1</v>
      </c>
      <c r="C11" s="10" t="inlineStr">
        <is>
          <t>Factor 23.2760, so M = 80000 ÷ 23.2760 = $3,437.02 per year.</t>
        </is>
      </c>
    </row>
    <row r="12" ht="15" customHeight="1">
      <c r="A12" s="20" t="inlineStr">
        <is>
          <t>3 Contribution needed</t>
        </is>
      </c>
      <c r="B12" s="21" t="n">
        <v>2</v>
      </c>
      <c r="C12" s="10" t="inlineStr">
        <is>
          <t>At 7%: $2,795.10 per year, compared with $3,141.27 at 5% – that is $346.17 less each year.</t>
        </is>
      </c>
    </row>
    <row r="13" ht="30" customHeight="1">
      <c r="A13" s="20" t="inlineStr">
        <is>
          <t>3 Contribution needed</t>
        </is>
      </c>
      <c r="B13" s="21" t="n">
        <v>3</v>
      </c>
      <c r="C13" s="10" t="inlineStr">
        <is>
          <t>Total contributed $37,695.25 vs single sum $27,841.87. The single sum is all invested from day one, so every dollar earns 12 years of interest. Annuity contributions are made gradually, so the later ones earn very little interest.</t>
        </is>
      </c>
    </row>
    <row r="14" ht="30" customHeight="1">
      <c r="A14" s="20" t="inlineStr">
        <is>
          <t>4 Varying the annuity</t>
        </is>
      </c>
      <c r="B14" s="21" t="n">
        <v>1</v>
      </c>
      <c r="C14" s="10" t="inlineStr">
        <is>
          <t>Longer term: $132,877.70, which is $66,745.79 more than the Base ($66,131.91). Ten extra years of compounding beats a 2% higher rate ($81,990.98) and a $1,000 bigger contribution ($99,197.86).</t>
        </is>
      </c>
    </row>
    <row r="15" ht="15" customHeight="1">
      <c r="A15" s="20" t="inlineStr">
        <is>
          <t>4 Varying the annuity</t>
        </is>
      </c>
      <c r="B15" s="21" t="n">
        <v>2</v>
      </c>
      <c r="C15" s="10" t="inlineStr">
        <is>
          <t>9% gives $102,320.24; 8% only gives $91,523.93.</t>
        </is>
      </c>
    </row>
    <row r="16" ht="15" customHeight="1">
      <c r="A16" s="20" t="inlineStr">
        <is>
          <t>4 Varying the annuity</t>
        </is>
      </c>
      <c r="B16" s="21" t="n">
        <v>3</v>
      </c>
      <c r="C16" s="10" t="inlineStr">
        <is>
          <t>M = 100000 ÷ 33.0660 = $3,024.26 per period.</t>
        </is>
      </c>
    </row>
    <row r="17" ht="15" customHeight="1">
      <c r="A17" s="20" t="inlineStr">
        <is>
          <t>5 Present value</t>
        </is>
      </c>
      <c r="B17" s="21" t="n">
        <v>1</v>
      </c>
      <c r="C17" s="10" t="inlineStr">
        <is>
          <t>$543,613.05 (factor 13.5903).</t>
        </is>
      </c>
    </row>
    <row r="18" ht="15" customHeight="1">
      <c r="A18" s="20" t="inlineStr">
        <is>
          <t>5 Present value</t>
        </is>
      </c>
      <c r="B18" s="21" t="n">
        <v>2</v>
      </c>
      <c r="C18" s="10" t="inlineStr">
        <is>
          <t>At 6%: $344,097.64, which is $63,612.15 less than $407,709.79.</t>
        </is>
      </c>
    </row>
    <row r="19" ht="30" customHeight="1">
      <c r="A19" s="20" t="inlineStr">
        <is>
          <t>5 Present value</t>
        </is>
      </c>
      <c r="B19" s="21" t="n">
        <v>3</v>
      </c>
      <c r="C19" s="10" t="inlineStr">
        <is>
          <t>$192,290.21. The withdrawals total $600,000.00 but only $407,709.79 is invested – the rest is interest earned on the money still in the fund.</t>
        </is>
      </c>
    </row>
    <row r="20" ht="15" customHeight="1">
      <c r="A20" s="20" t="inlineStr">
        <is>
          <t>6 Loan repayments</t>
        </is>
      </c>
      <c r="B20" s="21" t="n">
        <v>1</v>
      </c>
      <c r="C20" s="10" t="inlineStr">
        <is>
          <t>$841.37 per month; total interest $5,385.76 (compared with $6,780.96 over 5 years).</t>
        </is>
      </c>
    </row>
    <row r="21" ht="15" customHeight="1">
      <c r="A21" s="20" t="inlineStr">
        <is>
          <t>6 Loan repayments</t>
        </is>
      </c>
      <c r="B21" s="21" t="n">
        <v>2</v>
      </c>
      <c r="C21" s="10" t="inlineStr">
        <is>
          <t>$726.54 per month (it was $696.35 at 7.2%).</t>
        </is>
      </c>
    </row>
    <row r="22" ht="30" customHeight="1">
      <c r="A22" s="20" t="inlineStr">
        <is>
          <t>6 Loan repayments</t>
        </is>
      </c>
      <c r="B22" s="21" t="n">
        <v>3</v>
      </c>
      <c r="C22" s="10" t="inlineStr">
        <is>
          <t>Interest is charged on the balance still owing. Each repayment is more than the interest, so the balance falls every month – and a smaller balance attracts less interest.</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2026-10-17T21:06:46Z</dcterms:created>
  <dcterms:modified xsi:type="dcterms:W3CDTF">2026-10-17T21:06:46Z</dcterms:modified>
</cp:coreProperties>
</file>