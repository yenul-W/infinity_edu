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5.xml.rels" ContentType="application/vnd.openxmlformats-package.relationships+xml"/>
  <Override PartName="/xl/drawings/_rels/drawing4.xml.rels" ContentType="application/vnd.openxmlformats-package.relationships+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1 Simple v Compound" sheetId="2" state="visible" r:id="rId4"/>
    <sheet name="2 Interest rates" sheetId="3" state="visible" r:id="rId5"/>
    <sheet name="3 Compounding periods" sheetId="4" state="visible" r:id="rId6"/>
    <sheet name="4 Depreciation" sheetId="5" state="visible" r:id="rId7"/>
    <sheet name="5 Home loan" sheetId="6" state="visible" r:id="rId8"/>
    <sheet name="Try it answers"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<sst xmlns="http://schemas.openxmlformats.org/spreadsheetml/2006/main" count="221" uniqueCount="180">
  <si>
    <t xml:space="preserve">Investments, Depreciation and Loans – Spreadsheet Tutorial</t>
  </si>
  <si>
    <t xml:space="preserve">Work through the tabs in order. Every table is built from formulas, so change a yellow cell and watch the numbers and graphs update.</t>
  </si>
  <si>
    <t xml:space="preserve">What you will learn</t>
  </si>
  <si>
    <t xml:space="preserve">   1.  Model investments with simple and compound interest, in numbers and in graphs.</t>
  </si>
  <si>
    <t xml:space="preserve">   2.  Model depreciation with the straight-line and declining-balance methods.</t>
  </si>
  <si>
    <t xml:space="preserve">   3.  Model a reducing balance loan and use it to solve problems.</t>
  </si>
  <si>
    <t xml:space="preserve">Colour key</t>
  </si>
  <si>
    <t xml:space="preserve">Yellow cell with blue text = an input. Change these to explore.</t>
  </si>
  <si>
    <t xml:space="preserve">White cell with black text = a formula. Click it to read the formula, but don't type over it.</t>
  </si>
  <si>
    <t xml:space="preserve">TRY IT</t>
  </si>
  <si>
    <t xml:space="preserve">Short tasks on each tab. Answers are on the last tab.</t>
  </si>
  <si>
    <t xml:space="preserve">The tabs</t>
  </si>
  <si>
    <t xml:space="preserve">Tab</t>
  </si>
  <si>
    <t xml:space="preserve">What you model</t>
  </si>
  <si>
    <t xml:space="preserve">Key formula</t>
  </si>
  <si>
    <t xml:space="preserve">1 Simple v Compound</t>
  </si>
  <si>
    <t xml:space="preserve">A $5,000 investment growing with simple and with compound interest</t>
  </si>
  <si>
    <t xml:space="preserve">A = P(1 + rn)   and   A = P(1 + r)^n</t>
  </si>
  <si>
    <t xml:space="preserve">2 Interest rates</t>
  </si>
  <si>
    <t xml:space="preserve">How different interest rates change long-term growth</t>
  </si>
  <si>
    <t xml:space="preserve">A = P(1 + r/k)^(k × n)</t>
  </si>
  <si>
    <t xml:space="preserve">3 Compounding periods</t>
  </si>
  <si>
    <t xml:space="preserve">Annual, half-yearly, quarterly, monthly and daily compounding</t>
  </si>
  <si>
    <t xml:space="preserve">4 Depreciation</t>
  </si>
  <si>
    <t xml:space="preserve">A laptop losing value: straight-line vs declining balance</t>
  </si>
  <si>
    <t xml:space="preserve">S = V0 − Dn   and   S = V0(1 − r)^n</t>
  </si>
  <si>
    <t xml:space="preserve">5 Home loan</t>
  </si>
  <si>
    <t xml:space="preserve">A reducing balance home loan, repayment by repayment</t>
  </si>
  <si>
    <t xml:space="preserve">Balance = previous balance + interest − repayment</t>
  </si>
  <si>
    <t xml:space="preserve">Spreadsheet skills you will use</t>
  </si>
  <si>
    <t xml:space="preserve">Cell references</t>
  </si>
  <si>
    <t xml:space="preserve">The formula =B5*B6 uses the values in those cells. Change B5 and the answer updates.</t>
  </si>
  <si>
    <t xml:space="preserve">Absolute references</t>
  </si>
  <si>
    <t xml:space="preserve">$B$5 stays locked on B5 when a formula is filled down. A16 (no $ signs) moves down a row each time.</t>
  </si>
  <si>
    <t xml:space="preserve">Mixed references</t>
  </si>
  <si>
    <t xml:space="preserve">B$8 locks only the row; $A15 locks only the column. Useful when filling a formula across AND down.</t>
  </si>
  <si>
    <t xml:space="preserve">Fill down</t>
  </si>
  <si>
    <t xml:space="preserve">Select the cell, then drag the small square at its bottom-right corner (or double-click it).</t>
  </si>
  <si>
    <t xml:space="preserve">Insert a chart</t>
  </si>
  <si>
    <t xml:space="preserve">Select the table including its headings, then Insert &gt; Charts &gt; Line (or Column). Add a chart title and axis titles.</t>
  </si>
  <si>
    <t xml:space="preserve">If you get lost</t>
  </si>
  <si>
    <t xml:space="preserve">Press Ctrl+Z to undo, or close without saving and reopen the file.</t>
  </si>
  <si>
    <t xml:space="preserve">1   Simple interest vs compound interest</t>
  </si>
  <si>
    <t xml:space="preserve">You invest $5,000 for 20 years. How much difference does it make whether the interest is simple or compound (compounded once a year)?</t>
  </si>
  <si>
    <t xml:space="preserve">Inputs – change these</t>
  </si>
  <si>
    <t xml:space="preserve">How it works</t>
  </si>
  <si>
    <t xml:space="preserve">Principal, P ($)</t>
  </si>
  <si>
    <t xml:space="preserve">Simple interest is earned on the original principal only, so the value rises by the same amount every year.</t>
  </si>
  <si>
    <t xml:space="preserve">Annual interest rate, r</t>
  </si>
  <si>
    <t xml:space="preserve">    A = P(1 + rn)          Cell B16:   =$B$5*(1+$B$6*A16)</t>
  </si>
  <si>
    <t xml:space="preserve">Results</t>
  </si>
  <si>
    <t xml:space="preserve">Compound interest is earned on the principal AND on the interest already added, so the value grows faster each year.</t>
  </si>
  <si>
    <t xml:space="preserve">Simple interest value after 20 years</t>
  </si>
  <si>
    <t xml:space="preserve">Compound interest value after 20 years</t>
  </si>
  <si>
    <t xml:space="preserve">    A = P(1 + r)^n          Cell C16:   =$B$5*(1+$B$6)^A16</t>
  </si>
  <si>
    <t xml:space="preserve">Extra earned by compounding</t>
  </si>
  <si>
    <t xml:space="preserve">The $ signs lock the formula onto the input cells, so it can be filled down the column. Column D shows the compound interest earned in each single year – it keeps increasing.</t>
  </si>
  <si>
    <t xml:space="preserve">Years for the compound investment to double</t>
  </si>
  <si>
    <t xml:space="preserve">Year</t>
  </si>
  <si>
    <t xml:space="preserve">Simple interest value ($)</t>
  </si>
  <si>
    <t xml:space="preserve">Compound interest value ($)</t>
  </si>
  <si>
    <t xml:space="preserve">Compound interest earned this year ($)</t>
  </si>
  <si>
    <t xml:space="preserve">Compound − simple ($)</t>
  </si>
  <si>
    <t xml:space="preserve">–</t>
  </si>
  <si>
    <t xml:space="preserve">Try it</t>
  </si>
  <si>
    <t xml:space="preserve">1. Change the rate to 3%. How much extra does compounding earn over 20 years now? Compare this with the extra at 6%.</t>
  </si>
  <si>
    <t xml:space="preserve">2. Change the rate to 9%. How many years does the compound investment take to double?</t>
  </si>
  <si>
    <t xml:space="preserve">3. Look at the graph. Which line is straight and which is curved? Explain why.</t>
  </si>
  <si>
    <t xml:space="preserve">Set the rate back to 6% when you finish.</t>
  </si>
  <si>
    <t xml:space="preserve">2   How the interest rate affects growth</t>
  </si>
  <si>
    <t xml:space="preserve">You invest $10,000 for 30 years with interest compounding monthly. Compare four different annual interest rates.</t>
  </si>
  <si>
    <t xml:space="preserve">Each column grows the same principal at a different annual rate, compounding k times a year.</t>
  </si>
  <si>
    <t xml:space="preserve">Compounding periods per year, k</t>
  </si>
  <si>
    <t xml:space="preserve">    A = P(1 + r/k)^(k × n)          Cell B15:   =$B$5*(1+B$8/$B$6)^($B$6*$A15)</t>
  </si>
  <si>
    <t xml:space="preserve">B$8 locks the row (the rate always comes from row 8) and $A15 locks the column (the year always comes from column A), so one formula fills the whole table.</t>
  </si>
  <si>
    <t xml:space="preserve">Value after 30 years</t>
  </si>
  <si>
    <t xml:space="preserve">A small difference in the rate becomes a very large difference over a long time.</t>
  </si>
  <si>
    <t xml:space="preserve">Interest earned in 30 years</t>
  </si>
  <si>
    <t xml:space="preserve">Years to double</t>
  </si>
  <si>
    <t xml:space="preserve">1. What is the investment worth after 30 years at each rate? Is the 8% result double the 4% result?</t>
  </si>
  <si>
    <t xml:space="preserve">2. Change k in B6 from 12 to 1 (compounding once a year). By how much does the 8% value after 30 years fall?</t>
  </si>
  <si>
    <t xml:space="preserve">3. Set k back to 12, then change the principal to $20,000. What happens to every value in the table?</t>
  </si>
  <si>
    <t xml:space="preserve">3   How often interest is compounded</t>
  </si>
  <si>
    <t xml:space="preserve">You invest $10,000 at 6% p.a. for 10 years. Does it matter whether interest is added yearly, half-yearly, quarterly, monthly or daily?</t>
  </si>
  <si>
    <t xml:space="preserve">The annual rate is shared over k compounding periods each year: the rate per period is r/k and there are k × n periods altogether.</t>
  </si>
  <si>
    <t xml:space="preserve">    A = P(1 + r/k)^(k × n)          Cell B17:   =$B$5*(1+$B$6/B$9)^(B$9*$A17)</t>
  </si>
  <si>
    <t xml:space="preserve">Compounding</t>
  </si>
  <si>
    <t xml:space="preserve">Annually</t>
  </si>
  <si>
    <t xml:space="preserve">Half-yearly</t>
  </si>
  <si>
    <t xml:space="preserve">Quarterly</t>
  </si>
  <si>
    <t xml:space="preserve">Monthly</t>
  </si>
  <si>
    <t xml:space="preserve">Daily</t>
  </si>
  <si>
    <t xml:space="preserve">More frequent compounding earns more, because interest starts earning its own interest sooner – but the gain gets smaller each time.</t>
  </si>
  <si>
    <t xml:space="preserve">Periods per year, k</t>
  </si>
  <si>
    <t xml:space="preserve">Value after 10 years</t>
  </si>
  <si>
    <t xml:space="preserve">The effective annual rate (row 13) is the single once-a-year rate that would give the same result.</t>
  </si>
  <si>
    <t xml:space="preserve">Interest earned in 10 years</t>
  </si>
  <si>
    <t xml:space="preserve">Extra compared with annual compounding</t>
  </si>
  <si>
    <t xml:space="preserve">Effective annual rate</t>
  </si>
  <si>
    <t xml:space="preserve">Annually ($)</t>
  </si>
  <si>
    <t xml:space="preserve">Half-yearly ($)</t>
  </si>
  <si>
    <t xml:space="preserve">Quarterly ($)</t>
  </si>
  <si>
    <t xml:space="preserve">Monthly ($)</t>
  </si>
  <si>
    <t xml:space="preserve">Daily ($)</t>
  </si>
  <si>
    <t xml:space="preserve">1. How much more does daily compounding earn than annual compounding over 10 years?</t>
  </si>
  <si>
    <t xml:space="preserve">2. Change the rate to 12%. What is that difference now?</t>
  </si>
  <si>
    <t xml:space="preserve">3. Why is the jump from annual to monthly much bigger than the jump from monthly to daily?</t>
  </si>
  <si>
    <t xml:space="preserve">4   Depreciation: straight-line vs declining balance</t>
  </si>
  <si>
    <t xml:space="preserve">A new laptop costs $2,400. Model how its value falls over 10 years using two different depreciation methods.</t>
  </si>
  <si>
    <t xml:space="preserve">Purchase price, V0 ($)</t>
  </si>
  <si>
    <t xml:space="preserve">Depreciation is the loss in value of an asset over time.</t>
  </si>
  <si>
    <t xml:space="preserve">Straight-line depreciation per year, D ($)</t>
  </si>
  <si>
    <t xml:space="preserve">Straight-line: the asset loses the same dollar amount every year, so the graph is a straight line that reaches $0.</t>
  </si>
  <si>
    <t xml:space="preserve">Declining-balance rate per year, r</t>
  </si>
  <si>
    <t xml:space="preserve">    S = V0 − Dn          Cell B16:   =MAX(0,$B$5-$B$6*A16)      (MAX stops the value going below $0)</t>
  </si>
  <si>
    <t xml:space="preserve">Years until the straight-line value reaches $0</t>
  </si>
  <si>
    <t xml:space="preserve">Declining balance: the asset loses the same percentage of its current value every year, so it falls fastest at the start and never quite reaches $0.</t>
  </si>
  <si>
    <t xml:space="preserve">Declining-balance value after 10 years</t>
  </si>
  <si>
    <t xml:space="preserve">First year the straight-line value is the lower one</t>
  </si>
  <si>
    <t xml:space="preserve">    S = V0(1 − r)^n          Cell C16:   =$B$5*(1-$B$7)^A16</t>
  </si>
  <si>
    <t xml:space="preserve">Straight-line value ($)</t>
  </si>
  <si>
    <t xml:space="preserve">Declining-balance value ($)</t>
  </si>
  <si>
    <t xml:space="preserve">Declining-balance loss this year ($)</t>
  </si>
  <si>
    <t xml:space="preserve">Method giving the lower value</t>
  </si>
  <si>
    <t xml:space="preserve">1. In which year is the laptop first worth less under the straight-line method than under declining balance?</t>
  </si>
  <si>
    <t xml:space="preserve">2. Change the declining-balance rate to 40%. What is the laptop worth after 3 years?</t>
  </si>
  <si>
    <t xml:space="preserve">3. Set the rate back to 25%, then change the straight-line amount to $480 a year. After how many years is the laptop worth $0?</t>
  </si>
  <si>
    <t xml:space="preserve">5   A reducing balance home loan</t>
  </si>
  <si>
    <t xml:space="preserve">A family borrows $500,000 to buy a home at 6% p.a. over 30 years with monthly repayments. Follow the loan repayment by repayment.</t>
  </si>
  <si>
    <t xml:space="preserve">Loan amount ($)</t>
  </si>
  <si>
    <t xml:space="preserve">In a reducing balance loan, interest is charged each period on the amount still owing. As the balance falls, so does the interest, and more of each repayment pays off the loan itself.</t>
  </si>
  <si>
    <t xml:space="preserve">Annual interest rate</t>
  </si>
  <si>
    <t xml:space="preserve">Loan term (years, up to 30)</t>
  </si>
  <si>
    <t xml:space="preserve">Each row of the table is one repayment period:</t>
  </si>
  <si>
    <t xml:space="preserve">Repayments per year</t>
  </si>
  <si>
    <t xml:space="preserve">    Interest = opening balance × rate per period                              Cell C25:   =B25*$B$12</t>
  </si>
  <si>
    <t xml:space="preserve">Extra repayment each period ($)</t>
  </si>
  <si>
    <t xml:space="preserve">    Closing balance = opening balance + interest − repayment          Cell F25:   =B25+C25-D25</t>
  </si>
  <si>
    <t xml:space="preserve">Calculated</t>
  </si>
  <si>
    <t xml:space="preserve">    Next opening balance = previous closing balance                         Cell B26:   =F25</t>
  </si>
  <si>
    <t xml:space="preserve">Interest rate per period</t>
  </si>
  <si>
    <t xml:space="preserve">The minimum repayment in B14 uses the PMT function to find the repayment that clears the loan in exactly the chosen term:  ROUNDUP(-PMT(B12,B13,B5),2). The repayment in column D uses MIN so the final repayment only pays what is left.</t>
  </si>
  <si>
    <t xml:space="preserve">Number of repayments in the term</t>
  </si>
  <si>
    <t xml:space="preserve">Minimum repayment ($)</t>
  </si>
  <si>
    <t xml:space="preserve">Repayment used ($)</t>
  </si>
  <si>
    <t xml:space="preserve">1. What is the minimum monthly repayment, and how much interest is paid over the 30 years?</t>
  </si>
  <si>
    <t xml:space="preserve">Repayments needed to clear the loan</t>
  </si>
  <si>
    <t xml:space="preserve">2. Type 500 in B9 (an extra $500 every month). How much sooner is the loan repaid, and how much interest is saved?</t>
  </si>
  <si>
    <t xml:space="preserve">Time to repay (years)</t>
  </si>
  <si>
    <t xml:space="preserve">Total repaid ($)</t>
  </si>
  <si>
    <t xml:space="preserve">3. Set B9 back to 0 and change the rate to 7%. What is the new minimum repayment?</t>
  </si>
  <si>
    <t xml:space="preserve">Total interest paid ($)</t>
  </si>
  <si>
    <t xml:space="preserve">4. Set the rate back to 6% and change the term to 25 years. What happens to the repayment and to the total interest?</t>
  </si>
  <si>
    <t xml:space="preserve">Loan cleared within this 360-row table?</t>
  </si>
  <si>
    <t xml:space="preserve">Repayment number</t>
  </si>
  <si>
    <t xml:space="preserve">Opening balance ($)</t>
  </si>
  <si>
    <t xml:space="preserve">Interest ($)</t>
  </si>
  <si>
    <t xml:space="preserve">Repayment ($)</t>
  </si>
  <si>
    <t xml:space="preserve">Principal paid off ($)</t>
  </si>
  <si>
    <t xml:space="preserve">Closing balance ($)</t>
  </si>
  <si>
    <t xml:space="preserve">Try it – answers</t>
  </si>
  <si>
    <t xml:space="preserve">Have a go at each task before you look. Answers assume all other inputs are at their starting values.</t>
  </si>
  <si>
    <t xml:space="preserve">Task</t>
  </si>
  <si>
    <t xml:space="preserve">Answer</t>
  </si>
  <si>
    <t xml:space="preserve">At 3% the extra is $1,030.56 ($9,030.56 compound vs $8,000.00 simple). At 6% it was $5,035.68. Doubling the rate makes the extra almost five times bigger.</t>
  </si>
  <si>
    <t xml:space="preserve">9 years (cell B12). At 6% it took 12 years.</t>
  </si>
  <si>
    <t xml:space="preserve">Simple interest is the straight line: the same dollar amount is added every year (linear growth). Compound interest is the curve: each year's interest is a percentage of a larger balance, so the amount added keeps growing (exponential growth).</t>
  </si>
  <si>
    <t xml:space="preserve">$18,212.09 at 2%, $33,134.98 at 4%, $60,225.75 at 6% and $109,357.30 at 8%. No – the 8% value is about 3.3 times the 4% value, because the extra interest also earns interest.</t>
  </si>
  <si>
    <t xml:space="preserve">It falls by $8,730.73, from $109,357.30 to $100,626.57.</t>
  </si>
  <si>
    <t xml:space="preserve">Every value doubles. The final value is directly proportional to the principal; the shape of the graph does not change.</t>
  </si>
  <si>
    <t xml:space="preserve">$311.81 more ($18,220.29 compared with $17,908.48).</t>
  </si>
  <si>
    <t xml:space="preserve">$2,136.14. Compounding frequency matters more when the interest rate is higher.</t>
  </si>
  <si>
    <t xml:space="preserve">Going from 1 to 12 periods a year adds interest eleven extra times a year. By monthly, interest is already being added often, so splitting each month into about 30 days adds very little more. The values approach a limit.</t>
  </si>
  <si>
    <t xml:space="preserve">Year 7 (cell B12): $300.00 straight-line compared with $320.36 declining balance. Before that, declining balance gives the lower value.</t>
  </si>
  <si>
    <t xml:space="preserve">$518.40  (2,400 × 0.6³).</t>
  </si>
  <si>
    <t xml:space="preserve">5 years (2,400 ÷ 480). Cell B10 shows this.</t>
  </si>
  <si>
    <t xml:space="preserve">$2,997.76 a month. Total interest is $579,186.19 – more than the amount borrowed.</t>
  </si>
  <si>
    <t xml:space="preserve">The loan is repaid in 252 repayments (21.0 years) instead of 360, about 9.0 years sooner. Interest falls to $379,687.83, a saving of $199,498.36.</t>
  </si>
  <si>
    <t xml:space="preserve">$3,326.52 a month, $328.76 more than at 6%.</t>
  </si>
  <si>
    <t xml:space="preserve">The repayment rises to $3,221.51 a month ($223.75 more), but total interest falls to $466,450.93, a saving of $112,735.27.</t>
  </si>
</sst>
</file>

<file path=xl/styles.xml><?xml version="1.0" encoding="utf-8"?>
<styleSheet xmlns="http://schemas.openxmlformats.org/spreadsheetml/2006/main">
  <numFmts count="9">
    <numFmt numFmtId="164" formatCode="General"/>
    <numFmt numFmtId="165" formatCode="\$#,##0.00"/>
    <numFmt numFmtId="166" formatCode="0.0%"/>
    <numFmt numFmtId="167" formatCode="0"/>
    <numFmt numFmtId="168" formatCode="\$#,##0"/>
    <numFmt numFmtId="169" formatCode="0.00%"/>
    <numFmt numFmtId="170" formatCode="0.0"/>
    <numFmt numFmtId="171" formatCode="0.000%"/>
    <numFmt numFmtId="172" formatCode="\$#,##0.00;[RED]&quot;-$&quot;#,##0.00;\-"/>
  </numFmts>
  <fonts count="14">
    <font>
      <sz val="10"/>
      <name val="Arial"/>
      <family val="0"/>
      <charset val="1"/>
    </font>
    <font>
      <sz val="10"/>
      <name val="Arial"/>
      <family val="0"/>
    </font>
    <font>
      <sz val="10"/>
      <name val="Arial"/>
      <family val="0"/>
    </font>
    <font>
      <sz val="10"/>
      <name val="Arial"/>
      <family val="0"/>
    </font>
    <font>
      <b val="true"/>
      <sz val="16"/>
      <color rgb="FFFFFFFF"/>
      <name val="Arial"/>
      <family val="0"/>
      <charset val="1"/>
    </font>
    <font>
      <i val="true"/>
      <sz val="10"/>
      <color rgb="FF404040"/>
      <name val="Arial"/>
      <family val="0"/>
      <charset val="1"/>
    </font>
    <font>
      <b val="true"/>
      <sz val="11"/>
      <color rgb="FF1F4E5F"/>
      <name val="Arial"/>
      <family val="0"/>
      <charset val="1"/>
    </font>
    <font>
      <sz val="10"/>
      <color rgb="FF0000FF"/>
      <name val="Arial"/>
      <family val="0"/>
      <charset val="1"/>
    </font>
    <font>
      <b val="true"/>
      <sz val="10"/>
      <color rgb="FF1F4E5F"/>
      <name val="Arial"/>
      <family val="0"/>
      <charset val="1"/>
    </font>
    <font>
      <b val="true"/>
      <sz val="10"/>
      <name val="Arial"/>
      <family val="0"/>
      <charset val="1"/>
    </font>
    <font>
      <b val="true"/>
      <sz val="10"/>
      <color rgb="FF7F3F00"/>
      <name val="Arial"/>
      <family val="0"/>
      <charset val="1"/>
    </font>
    <font>
      <b val="true"/>
      <sz val="18"/>
      <color rgb="FF000000"/>
      <name val="Calibri"/>
      <family val="2"/>
    </font>
    <font>
      <sz val="10"/>
      <color rgb="FF000000"/>
      <name val="Calibri"/>
      <family val="2"/>
    </font>
    <font>
      <b val="true"/>
      <sz val="10"/>
      <color rgb="FF000000"/>
      <name val="Calibri"/>
      <family val="2"/>
    </font>
  </fonts>
  <fills count="5">
    <fill>
      <patternFill patternType="none"/>
    </fill>
    <fill>
      <patternFill patternType="gray125"/>
    </fill>
    <fill>
      <patternFill patternType="solid">
        <fgColor rgb="FF1F4E5F"/>
        <bgColor rgb="FF404040"/>
      </patternFill>
    </fill>
    <fill>
      <patternFill patternType="solid">
        <fgColor rgb="FFFFF2A8"/>
        <bgColor rgb="FFFFFFCC"/>
      </patternFill>
    </fill>
    <fill>
      <patternFill patternType="solid">
        <fgColor rgb="FFD9E7EC"/>
        <bgColor rgb="FFD9D9D9"/>
      </patternFill>
    </fill>
  </fills>
  <borders count="2">
    <border diagonalUp="false" diagonalDown="false">
      <left/>
      <right/>
      <top/>
      <bottom/>
      <diagonal/>
    </border>
    <border diagonalUp="false" diagonalDown="false">
      <left style="thin">
        <color rgb="FFA6A6A6"/>
      </left>
      <right style="thin">
        <color rgb="FFA6A6A6"/>
      </right>
      <top style="thin">
        <color rgb="FFA6A6A6"/>
      </top>
      <bottom style="thin">
        <color rgb="FFA6A6A6"/>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true" indent="0" shrinkToFit="false"/>
      <protection locked="true" hidden="false"/>
    </xf>
    <xf numFmtId="164" fontId="5" fillId="0" borderId="0" xfId="0" applyFont="true" applyBorder="true" applyAlignment="true" applyProtection="false">
      <alignment horizontal="general" vertical="center"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5" fontId="7" fillId="3" borderId="1" xfId="0" applyFont="true" applyBorder="true" applyAlignment="false" applyProtection="false">
      <alignment horizontal="general" vertical="bottom" textRotation="0" wrapText="false" indent="0" shrinkToFit="false"/>
      <protection locked="true" hidden="false"/>
    </xf>
    <xf numFmtId="165" fontId="0" fillId="0" borderId="1" xfId="0" applyFont="true" applyBorder="true" applyAlignment="false" applyProtection="false">
      <alignment horizontal="general" vertical="bottom" textRotation="0" wrapText="fals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xf numFmtId="166" fontId="7" fillId="3"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7" fontId="0" fillId="0" borderId="1" xfId="0" applyFont="true" applyBorder="true" applyAlignment="false" applyProtection="false">
      <alignment horizontal="general" vertical="bottom" textRotation="0" wrapText="false" indent="0" shrinkToFit="false"/>
      <protection locked="true" hidden="false"/>
    </xf>
    <xf numFmtId="165" fontId="0" fillId="0" borderId="1" xfId="0" applyFont="true" applyBorder="true" applyAlignment="true" applyProtection="false">
      <alignment horizontal="right" vertical="bottom" textRotation="0" wrapText="false" indent="0" shrinkToFit="false"/>
      <protection locked="true" hidden="false"/>
    </xf>
    <xf numFmtId="167" fontId="7" fillId="3" borderId="1" xfId="0" applyFont="true" applyBorder="true" applyAlignment="false" applyProtection="false">
      <alignment horizontal="general" vertical="bottom" textRotation="0" wrapText="false" indent="0" shrinkToFit="false"/>
      <protection locked="true" hidden="false"/>
    </xf>
    <xf numFmtId="169" fontId="0" fillId="0" borderId="1" xfId="0" applyFont="true" applyBorder="true" applyAlignment="false" applyProtection="false">
      <alignment horizontal="general" vertical="bottom" textRotation="0" wrapText="false" indent="0" shrinkToFit="false"/>
      <protection locked="true" hidden="false"/>
    </xf>
    <xf numFmtId="170" fontId="0"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center" vertical="bottom" textRotation="0" wrapText="false" indent="0" shrinkToFit="false"/>
      <protection locked="true" hidden="false"/>
    </xf>
    <xf numFmtId="169" fontId="7" fillId="3" borderId="1" xfId="0" applyFont="true" applyBorder="true" applyAlignment="false" applyProtection="false">
      <alignment horizontal="general" vertical="bottom" textRotation="0" wrapText="false" indent="0" shrinkToFit="false"/>
      <protection locked="true" hidden="false"/>
    </xf>
    <xf numFmtId="171" fontId="0" fillId="0" borderId="1" xfId="0" applyFont="true" applyBorder="true" applyAlignment="false" applyProtection="false">
      <alignment horizontal="general" vertical="bottom" textRotation="0" wrapText="false" indent="0" shrinkToFit="false"/>
      <protection locked="true" hidden="false"/>
    </xf>
    <xf numFmtId="172" fontId="0"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general" vertical="top" textRotation="0" wrapText="false" indent="0" shrinkToFit="false"/>
      <protection locked="true" hidden="false"/>
    </xf>
    <xf numFmtId="167" fontId="0" fillId="0" borderId="1" xfId="0" applyFont="true" applyBorder="true" applyAlignment="true" applyProtection="false">
      <alignment horizontal="center" vertical="top" textRotation="0" wrapText="fals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78787"/>
      <rgbColor rgb="FF9999FF"/>
      <rgbColor rgb="FFBE4B48"/>
      <rgbColor rgb="FFFFFFCC"/>
      <rgbColor rgb="FFD9E7EC"/>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2A8"/>
      <rgbColor rgb="FF99CCFF"/>
      <rgbColor rgb="FFFF99CC"/>
      <rgbColor rgb="FFCC99FF"/>
      <rgbColor rgb="FFFFCC99"/>
      <rgbColor rgb="FF4A7EBB"/>
      <rgbColor rgb="FF33CCCC"/>
      <rgbColor rgb="FF98B855"/>
      <rgbColor rgb="FFFFCC00"/>
      <rgbColor rgb="FFFF9900"/>
      <rgbColor rgb="FFFF6600"/>
      <rgbColor rgb="FF7D5FA0"/>
      <rgbColor rgb="FFA6A6A6"/>
      <rgbColor rgb="FF1F4E5F"/>
      <rgbColor rgb="FF4F81BD"/>
      <rgbColor rgb="FF003300"/>
      <rgbColor rgb="FF333300"/>
      <rgbColor rgb="FF7F3F00"/>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Simple vs compound interest</a:t>
            </a:r>
          </a:p>
        </c:rich>
      </c:tx>
      <c:overlay val="0"/>
      <c:spPr>
        <a:noFill/>
        <a:ln w="0">
          <a:noFill/>
        </a:ln>
      </c:spPr>
    </c:title>
    <c:autoTitleDeleted val="0"/>
    <c:plotArea>
      <c:lineChart>
        <c:grouping val="standard"/>
        <c:varyColors val="0"/>
        <c:ser>
          <c:idx val="0"/>
          <c:order val="0"/>
          <c:tx>
            <c:strRef>
              <c:f>'1 Simple v Compound'!B14</c:f>
              <c:strCache>
                <c:ptCount val="1"/>
                <c:pt idx="0">
                  <c:v>Simple interest value ($)</c:v>
                </c:pt>
              </c:strCache>
            </c:strRef>
          </c:tx>
          <c:spPr>
            <a:solidFill>
              <a:srgbClr val="4a7ebb"/>
            </a:solidFill>
            <a:ln w="2412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'1 Simple v Compound'!$A$15:$A$35</c:f>
              <c:strCache>
                <c:ptCount val="2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strCache>
            </c:strRef>
          </c:cat>
          <c:val>
            <c:numRef>
              <c:f>'1 Simple v Compound'!$B$15:$B$35</c:f>
              <c:numCache>
                <c:formatCode>\$#,##0.00</c:formatCode>
                <c:ptCount val="21"/>
                <c:pt idx="0">
                  <c:v>5000</c:v>
                </c:pt>
                <c:pt idx="1">
                  <c:v>5300</c:v>
                </c:pt>
                <c:pt idx="2">
                  <c:v>5600</c:v>
                </c:pt>
                <c:pt idx="3">
                  <c:v>5900</c:v>
                </c:pt>
                <c:pt idx="4">
                  <c:v>6200</c:v>
                </c:pt>
                <c:pt idx="5">
                  <c:v>6500</c:v>
                </c:pt>
                <c:pt idx="6">
                  <c:v>6800</c:v>
                </c:pt>
                <c:pt idx="7">
                  <c:v>7100</c:v>
                </c:pt>
                <c:pt idx="8">
                  <c:v>7400</c:v>
                </c:pt>
                <c:pt idx="9">
                  <c:v>7700</c:v>
                </c:pt>
                <c:pt idx="10">
                  <c:v>8000</c:v>
                </c:pt>
                <c:pt idx="11">
                  <c:v>8300</c:v>
                </c:pt>
                <c:pt idx="12">
                  <c:v>8600</c:v>
                </c:pt>
                <c:pt idx="13">
                  <c:v>8900</c:v>
                </c:pt>
                <c:pt idx="14">
                  <c:v>9200</c:v>
                </c:pt>
                <c:pt idx="15">
                  <c:v>9500</c:v>
                </c:pt>
                <c:pt idx="16">
                  <c:v>9800</c:v>
                </c:pt>
                <c:pt idx="17">
                  <c:v>10100</c:v>
                </c:pt>
                <c:pt idx="18">
                  <c:v>10400</c:v>
                </c:pt>
                <c:pt idx="19">
                  <c:v>10700</c:v>
                </c:pt>
                <c:pt idx="20">
                  <c:v>11000</c:v>
                </c:pt>
              </c:numCache>
            </c:numRef>
          </c:val>
          <c:smooth val="0"/>
        </c:ser>
        <c:ser>
          <c:idx val="1"/>
          <c:order val="1"/>
          <c:tx>
            <c:strRef>
              <c:f>'1 Simple v Compound'!C14</c:f>
              <c:strCache>
                <c:ptCount val="1"/>
                <c:pt idx="0">
                  <c:v>Compound interest value ($)</c:v>
                </c:pt>
              </c:strCache>
            </c:strRef>
          </c:tx>
          <c:spPr>
            <a:solidFill>
              <a:srgbClr val="be4b48"/>
            </a:solidFill>
            <a:ln w="2412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'1 Simple v Compound'!$A$15:$A$35</c:f>
              <c:strCache>
                <c:ptCount val="2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strCache>
            </c:strRef>
          </c:cat>
          <c:val>
            <c:numRef>
              <c:f>'1 Simple v Compound'!$C$15:$C$35</c:f>
              <c:numCache>
                <c:formatCode>\$#,##0.00</c:formatCode>
                <c:ptCount val="21"/>
                <c:pt idx="0">
                  <c:v>5000</c:v>
                </c:pt>
                <c:pt idx="1">
                  <c:v>5300</c:v>
                </c:pt>
                <c:pt idx="2">
                  <c:v>5618</c:v>
                </c:pt>
                <c:pt idx="3">
                  <c:v>5955.08</c:v>
                </c:pt>
                <c:pt idx="4">
                  <c:v>6312.3848</c:v>
                </c:pt>
                <c:pt idx="5">
                  <c:v>6691.127888</c:v>
                </c:pt>
                <c:pt idx="6">
                  <c:v>7092.59556128</c:v>
                </c:pt>
                <c:pt idx="7">
                  <c:v>7518.1512949568</c:v>
                </c:pt>
                <c:pt idx="8">
                  <c:v>7969.24037265421</c:v>
                </c:pt>
                <c:pt idx="9">
                  <c:v>8447.39479501346</c:v>
                </c:pt>
                <c:pt idx="10">
                  <c:v>8954.23848271427</c:v>
                </c:pt>
                <c:pt idx="11">
                  <c:v>9491.49279167713</c:v>
                </c:pt>
                <c:pt idx="12">
                  <c:v>10060.9823591778</c:v>
                </c:pt>
                <c:pt idx="13">
                  <c:v>10664.6413007284</c:v>
                </c:pt>
                <c:pt idx="14">
                  <c:v>11304.5197787721</c:v>
                </c:pt>
                <c:pt idx="15">
                  <c:v>11982.7909654985</c:v>
                </c:pt>
                <c:pt idx="16">
                  <c:v>12701.7584234284</c:v>
                </c:pt>
                <c:pt idx="17">
                  <c:v>13463.8639288341</c:v>
                </c:pt>
                <c:pt idx="18">
                  <c:v>14271.6957645641</c:v>
                </c:pt>
                <c:pt idx="19">
                  <c:v>15127.997510438</c:v>
                </c:pt>
                <c:pt idx="20">
                  <c:v>16035.6773610642</c:v>
                </c:pt>
              </c:numCache>
            </c:numRef>
          </c:val>
          <c:smooth val="0"/>
        </c:ser>
        <c:hiLowLines>
          <c:spPr>
            <a:ln w="0">
              <a:noFill/>
            </a:ln>
          </c:spPr>
        </c:hiLowLines>
        <c:marker val="0"/>
        <c:axId val="77307322"/>
        <c:axId val="62939378"/>
      </c:lineChart>
      <c:catAx>
        <c:axId val="77307322"/>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Year</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2939378"/>
        <c:crosses val="autoZero"/>
        <c:auto val="1"/>
        <c:lblAlgn val="ctr"/>
        <c:lblOffset val="100"/>
        <c:noMultiLvlLbl val="0"/>
      </c:catAx>
      <c:valAx>
        <c:axId val="62939378"/>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Value of investment</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7307322"/>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Growth of $10,000 at different interest rates</a:t>
            </a:r>
          </a:p>
        </c:rich>
      </c:tx>
      <c:overlay val="0"/>
      <c:spPr>
        <a:noFill/>
        <a:ln w="0">
          <a:noFill/>
        </a:ln>
      </c:spPr>
    </c:title>
    <c:autoTitleDeleted val="0"/>
    <c:plotArea>
      <c:lineChart>
        <c:grouping val="standard"/>
        <c:varyColors val="0"/>
        <c:ser>
          <c:idx val="0"/>
          <c:order val="0"/>
          <c:tx>
            <c:strRef>
              <c:f>'2 Interest rates'!B13</c:f>
              <c:strCache>
                <c:ptCount val="1"/>
                <c:pt idx="0">
                  <c:v>2.0% p.a.</c:v>
                </c:pt>
              </c:strCache>
            </c:strRef>
          </c:tx>
          <c:spPr>
            <a:solidFill>
              <a:srgbClr val="4a7ebb"/>
            </a:solidFill>
            <a:ln w="2412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'2 Interest rates'!$A$14:$A$44</c:f>
              <c:strCache>
                <c:ptCount val="3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strCache>
            </c:strRef>
          </c:cat>
          <c:val>
            <c:numRef>
              <c:f>'2 Interest rates'!$B$14:$B$44</c:f>
              <c:numCache>
                <c:formatCode>\$#,##0.00</c:formatCode>
                <c:ptCount val="31"/>
                <c:pt idx="0">
                  <c:v>10000</c:v>
                </c:pt>
                <c:pt idx="1">
                  <c:v>10201.843556815</c:v>
                </c:pt>
                <c:pt idx="2">
                  <c:v>10407.7611957728</c:v>
                </c:pt>
                <c:pt idx="3">
                  <c:v>10617.8351495964</c:v>
                </c:pt>
                <c:pt idx="4">
                  <c:v>10832.1493108234</c:v>
                </c:pt>
                <c:pt idx="5">
                  <c:v>11050.7892653082</c:v>
                </c:pt>
                <c:pt idx="6">
                  <c:v>11273.8423264005</c:v>
                </c:pt>
                <c:pt idx="7">
                  <c:v>11501.3975698138</c:v>
                </c:pt>
                <c:pt idx="8">
                  <c:v>11733.5458691972</c:v>
                </c:pt>
                <c:pt idx="9">
                  <c:v>11970.3799324263</c:v>
                </c:pt>
                <c:pt idx="10">
                  <c:v>12211.9943386251</c:v>
                </c:pt>
                <c:pt idx="11">
                  <c:v>12458.4855759364</c:v>
                </c:pt>
                <c:pt idx="12">
                  <c:v>12709.952080054</c:v>
                </c:pt>
                <c:pt idx="13">
                  <c:v>12966.4942735327</c:v>
                </c:pt>
                <c:pt idx="14">
                  <c:v>13228.2146058918</c:v>
                </c:pt>
                <c:pt idx="15">
                  <c:v>13495.2175945283</c:v>
                </c:pt>
                <c:pt idx="16">
                  <c:v>13767.6098664556</c:v>
                </c:pt>
                <c:pt idx="17">
                  <c:v>14045.5002008843</c:v>
                </c:pt>
                <c:pt idx="18">
                  <c:v>14328.9995726635</c:v>
                </c:pt>
                <c:pt idx="19">
                  <c:v>14618.2211965982</c:v>
                </c:pt>
                <c:pt idx="20">
                  <c:v>14913.2805726612</c:v>
                </c:pt>
                <c:pt idx="21">
                  <c:v>15214.2955321179</c:v>
                </c:pt>
                <c:pt idx="22">
                  <c:v>15521.3862845816</c:v>
                </c:pt>
                <c:pt idx="23">
                  <c:v>15834.6754660196</c:v>
                </c:pt>
                <c:pt idx="24">
                  <c:v>16154.2881877269</c:v>
                </c:pt>
                <c:pt idx="25">
                  <c:v>16480.3520862895</c:v>
                </c:pt>
                <c:pt idx="26">
                  <c:v>16812.9973745555</c:v>
                </c:pt>
                <c:pt idx="27">
                  <c:v>17152.3568936357</c:v>
                </c:pt>
                <c:pt idx="28">
                  <c:v>17498.5661659529</c:v>
                </c:pt>
                <c:pt idx="29">
                  <c:v>17851.7634493628</c:v>
                </c:pt>
                <c:pt idx="30">
                  <c:v>18212.0897923667</c:v>
                </c:pt>
              </c:numCache>
            </c:numRef>
          </c:val>
          <c:smooth val="0"/>
        </c:ser>
        <c:ser>
          <c:idx val="1"/>
          <c:order val="1"/>
          <c:tx>
            <c:strRef>
              <c:f>'2 Interest rates'!C13</c:f>
              <c:strCache>
                <c:ptCount val="1"/>
                <c:pt idx="0">
                  <c:v>4.0% p.a.</c:v>
                </c:pt>
              </c:strCache>
            </c:strRef>
          </c:tx>
          <c:spPr>
            <a:solidFill>
              <a:srgbClr val="be4b48"/>
            </a:solidFill>
            <a:ln w="2412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'2 Interest rates'!$A$14:$A$44</c:f>
              <c:strCache>
                <c:ptCount val="3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strCache>
            </c:strRef>
          </c:cat>
          <c:val>
            <c:numRef>
              <c:f>'2 Interest rates'!$C$14:$C$44</c:f>
              <c:numCache>
                <c:formatCode>\$#,##0.00</c:formatCode>
                <c:ptCount val="31"/>
                <c:pt idx="0">
                  <c:v>10000</c:v>
                </c:pt>
                <c:pt idx="1">
                  <c:v>10407.4154291979</c:v>
                </c:pt>
                <c:pt idx="2">
                  <c:v>10831.4295915907</c:v>
                </c:pt>
                <c:pt idx="3">
                  <c:v>11272.7187451791</c:v>
                </c:pt>
                <c:pt idx="4">
                  <c:v>11731.9866997586</c:v>
                </c:pt>
                <c:pt idx="5">
                  <c:v>12209.9659394212</c:v>
                </c:pt>
                <c:pt idx="6">
                  <c:v>12707.4187907913</c:v>
                </c:pt>
                <c:pt idx="7">
                  <c:v>13225.1386388561</c:v>
                </c:pt>
                <c:pt idx="8">
                  <c:v>13763.9511923312</c:v>
                </c:pt>
                <c:pt idx="9">
                  <c:v>14324.7158005795</c:v>
                </c:pt>
                <c:pt idx="10">
                  <c:v>14908.3268241826</c:v>
                </c:pt>
                <c:pt idx="11">
                  <c:v>15515.7150613523</c:v>
                </c:pt>
                <c:pt idx="12">
                  <c:v>16147.8492324556</c:v>
                </c:pt>
                <c:pt idx="13">
                  <c:v>16805.7375250221</c:v>
                </c:pt>
                <c:pt idx="14">
                  <c:v>17490.4292016965</c:v>
                </c:pt>
                <c:pt idx="15">
                  <c:v>18203.0162737029</c:v>
                </c:pt>
                <c:pt idx="16">
                  <c:v>18944.6352424877</c:v>
                </c:pt>
                <c:pt idx="17">
                  <c:v>19716.4689123193</c:v>
                </c:pt>
                <c:pt idx="18">
                  <c:v>20519.7482767372</c:v>
                </c:pt>
                <c:pt idx="19">
                  <c:v>21355.7544818572</c:v>
                </c:pt>
                <c:pt idx="20">
                  <c:v>22225.8208696643</c:v>
                </c:pt>
                <c:pt idx="21">
                  <c:v>23131.3351045533</c:v>
                </c:pt>
                <c:pt idx="22">
                  <c:v>24073.7413865075</c:v>
                </c:pt>
                <c:pt idx="23">
                  <c:v>25054.5427544459</c:v>
                </c:pt>
                <c:pt idx="24">
                  <c:v>26075.3034834118</c:v>
                </c:pt>
                <c:pt idx="25">
                  <c:v>27137.6515794278</c:v>
                </c:pt>
                <c:pt idx="26">
                  <c:v>28243.2813759934</c:v>
                </c:pt>
                <c:pt idx="27">
                  <c:v>29393.9562363692</c:v>
                </c:pt>
                <c:pt idx="28">
                  <c:v>30591.5113659557</c:v>
                </c:pt>
                <c:pt idx="29">
                  <c:v>31837.856739253</c:v>
                </c:pt>
                <c:pt idx="30">
                  <c:v>33134.9801460694</c:v>
                </c:pt>
              </c:numCache>
            </c:numRef>
          </c:val>
          <c:smooth val="0"/>
        </c:ser>
        <c:ser>
          <c:idx val="2"/>
          <c:order val="2"/>
          <c:tx>
            <c:strRef>
              <c:f>'2 Interest rates'!D13</c:f>
              <c:strCache>
                <c:ptCount val="1"/>
                <c:pt idx="0">
                  <c:v>6.0% p.a.</c:v>
                </c:pt>
              </c:strCache>
            </c:strRef>
          </c:tx>
          <c:spPr>
            <a:solidFill>
              <a:srgbClr val="98b855"/>
            </a:solidFill>
            <a:ln w="24120">
              <a:solidFill>
                <a:srgbClr val="98b855"/>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'2 Interest rates'!$A$14:$A$44</c:f>
              <c:strCache>
                <c:ptCount val="3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strCache>
            </c:strRef>
          </c:cat>
          <c:val>
            <c:numRef>
              <c:f>'2 Interest rates'!$D$14:$D$44</c:f>
              <c:numCache>
                <c:formatCode>\$#,##0.00</c:formatCode>
                <c:ptCount val="31"/>
                <c:pt idx="0">
                  <c:v>10000</c:v>
                </c:pt>
                <c:pt idx="1">
                  <c:v>10616.778118645</c:v>
                </c:pt>
                <c:pt idx="2">
                  <c:v>11271.5977620539</c:v>
                </c:pt>
                <c:pt idx="3">
                  <c:v>11966.8052482341</c:v>
                </c:pt>
                <c:pt idx="4">
                  <c:v>12704.8916109538</c:v>
                </c:pt>
                <c:pt idx="5">
                  <c:v>13488.5015254931</c:v>
                </c:pt>
                <c:pt idx="6">
                  <c:v>14320.4427849164</c:v>
                </c:pt>
                <c:pt idx="7">
                  <c:v>15203.6963608208</c:v>
                </c:pt>
                <c:pt idx="8">
                  <c:v>16141.4270846085</c:v>
                </c:pt>
                <c:pt idx="9">
                  <c:v>17136.9949875575</c:v>
                </c:pt>
                <c:pt idx="10">
                  <c:v>18193.9673403229</c:v>
                </c:pt>
                <c:pt idx="11">
                  <c:v>19316.1314350082</c:v>
                </c:pt>
                <c:pt idx="12">
                  <c:v>20507.5081556065</c:v>
                </c:pt>
                <c:pt idx="13">
                  <c:v>21772.3663854377</c:v>
                </c:pt>
                <c:pt idx="14">
                  <c:v>23115.2383032036</c:v>
                </c:pt>
                <c:pt idx="15">
                  <c:v>24540.9356224717</c:v>
                </c:pt>
                <c:pt idx="16">
                  <c:v>26054.5668327732</c:v>
                </c:pt>
                <c:pt idx="17">
                  <c:v>27661.555504096</c:v>
                </c:pt>
                <c:pt idx="18">
                  <c:v>29367.659720357</c:v>
                </c:pt>
                <c:pt idx="19">
                  <c:v>31178.9927114898</c:v>
                </c:pt>
                <c:pt idx="20">
                  <c:v>33102.0447580736</c:v>
                </c:pt>
                <c:pt idx="21">
                  <c:v>35143.7064469923</c:v>
                </c:pt>
                <c:pt idx="22">
                  <c:v>37311.2933614511</c:v>
                </c:pt>
                <c:pt idx="23">
                  <c:v>39612.5722938197</c:v>
                </c:pt>
                <c:pt idx="24">
                  <c:v>42055.7890752268</c:v>
                </c:pt>
                <c:pt idx="25">
                  <c:v>44649.6981216216</c:v>
                </c:pt>
                <c:pt idx="26">
                  <c:v>47403.5938021737</c:v>
                </c:pt>
                <c:pt idx="27">
                  <c:v>50327.3437424052</c:v>
                </c:pt>
                <c:pt idx="28">
                  <c:v>53431.4241813892</c:v>
                </c:pt>
                <c:pt idx="29">
                  <c:v>56726.9575097011</c:v>
                </c:pt>
                <c:pt idx="30">
                  <c:v>60225.7521226299</c:v>
                </c:pt>
              </c:numCache>
            </c:numRef>
          </c:val>
          <c:smooth val="0"/>
        </c:ser>
        <c:ser>
          <c:idx val="3"/>
          <c:order val="3"/>
          <c:tx>
            <c:strRef>
              <c:f>'2 Interest rates'!E13</c:f>
              <c:strCache>
                <c:ptCount val="1"/>
                <c:pt idx="0">
                  <c:v>8.0% p.a.</c:v>
                </c:pt>
              </c:strCache>
            </c:strRef>
          </c:tx>
          <c:spPr>
            <a:solidFill>
              <a:srgbClr val="7d5fa0"/>
            </a:solidFill>
            <a:ln w="24120">
              <a:solidFill>
                <a:srgbClr val="7d5fa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'2 Interest rates'!$A$14:$A$44</c:f>
              <c:strCache>
                <c:ptCount val="3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strCache>
            </c:strRef>
          </c:cat>
          <c:val>
            <c:numRef>
              <c:f>'2 Interest rates'!$E$14:$E$44</c:f>
              <c:numCache>
                <c:formatCode>\$#,##0.00</c:formatCode>
                <c:ptCount val="31"/>
                <c:pt idx="0">
                  <c:v>10000</c:v>
                </c:pt>
                <c:pt idx="1">
                  <c:v>10829.9950680751</c:v>
                </c:pt>
                <c:pt idx="2">
                  <c:v>11728.8793174531</c:v>
                </c:pt>
                <c:pt idx="3">
                  <c:v>12702.3705162065</c:v>
                </c:pt>
                <c:pt idx="4">
                  <c:v>13756.6610043379</c:v>
                </c:pt>
                <c:pt idx="5">
                  <c:v>14898.4570830161</c:v>
                </c:pt>
                <c:pt idx="6">
                  <c:v>16135.0216730992</c:v>
                </c:pt>
                <c:pt idx="7">
                  <c:v>17474.220514295</c:v>
                </c:pt>
                <c:pt idx="8">
                  <c:v>18924.5721988271</c:v>
                </c:pt>
                <c:pt idx="9">
                  <c:v>20495.3023578729</c:v>
                </c:pt>
                <c:pt idx="10">
                  <c:v>22196.4023454471</c:v>
                </c:pt>
                <c:pt idx="11">
                  <c:v>24038.6927930203</c:v>
                </c:pt>
                <c:pt idx="12">
                  <c:v>26033.8924391382</c:v>
                </c:pt>
                <c:pt idx="13">
                  <c:v>28194.6926718664</c:v>
                </c:pt>
                <c:pt idx="14">
                  <c:v>30534.8382582207</c:v>
                </c:pt>
                <c:pt idx="15">
                  <c:v>33069.2147741001</c:v>
                </c:pt>
                <c:pt idx="16">
                  <c:v>35813.943290862</c:v>
                </c:pt>
                <c:pt idx="17">
                  <c:v>38786.4829208357</c:v>
                </c:pt>
                <c:pt idx="18">
                  <c:v>42005.7418740629</c:v>
                </c:pt>
                <c:pt idx="19">
                  <c:v>45492.1977326937</c:v>
                </c:pt>
                <c:pt idx="20">
                  <c:v>49268.027708097</c:v>
                </c:pt>
                <c:pt idx="21">
                  <c:v>53357.2497092478</c:v>
                </c:pt>
                <c:pt idx="22">
                  <c:v>57785.8751197205</c:v>
                </c:pt>
                <c:pt idx="23">
                  <c:v>62582.0742550977</c:v>
                </c:pt>
                <c:pt idx="24">
                  <c:v>67776.3555532617</c:v>
                </c:pt>
                <c:pt idx="25">
                  <c:v>73401.7596373929</c:v>
                </c:pt>
                <c:pt idx="26">
                  <c:v>79494.0694860999</c:v>
                </c:pt>
                <c:pt idx="27">
                  <c:v>86092.0380475681</c:v>
                </c:pt>
                <c:pt idx="28">
                  <c:v>93237.6347455696</c:v>
                </c:pt>
                <c:pt idx="29">
                  <c:v>100976.312445351</c:v>
                </c:pt>
                <c:pt idx="30">
                  <c:v>109357.296577556</c:v>
                </c:pt>
              </c:numCache>
            </c:numRef>
          </c:val>
          <c:smooth val="0"/>
        </c:ser>
        <c:hiLowLines>
          <c:spPr>
            <a:ln w="0">
              <a:noFill/>
            </a:ln>
          </c:spPr>
        </c:hiLowLines>
        <c:marker val="0"/>
        <c:axId val="24684506"/>
        <c:axId val="22454391"/>
      </c:lineChart>
      <c:catAx>
        <c:axId val="24684506"/>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Year</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2454391"/>
        <c:crosses val="autoZero"/>
        <c:auto val="1"/>
        <c:lblAlgn val="ctr"/>
        <c:lblOffset val="100"/>
        <c:noMultiLvlLbl val="0"/>
      </c:catAx>
      <c:valAx>
        <c:axId val="22454391"/>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Value of investment</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4684506"/>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Extra interest compared with annual compounding (10 years)</a:t>
            </a:r>
          </a:p>
        </c:rich>
      </c:tx>
      <c:overlay val="0"/>
      <c:spPr>
        <a:noFill/>
        <a:ln w="0">
          <a:noFill/>
        </a:ln>
      </c:spPr>
    </c:title>
    <c:autoTitleDeleted val="0"/>
    <c:plotArea>
      <c:barChart>
        <c:barDir val="col"/>
        <c:grouping val="clustered"/>
        <c:varyColors val="0"/>
        <c:ser>
          <c:idx val="0"/>
          <c:order val="0"/>
          <c:tx>
            <c:strRef>
              <c:f>"Extra interest"</c:f>
              <c:strCache>
                <c:ptCount val="1"/>
                <c:pt idx="0">
                  <c:v>Extra interest</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'3 Compounding periods'!$B$8:$F$8</c:f>
              <c:multiLvlStrCache>
                <c:ptCount val="1"/>
                <c:lvl>
                  <c:pt idx="0">
                    <c:v>Daily</c:v>
                  </c:pt>
                </c:lvl>
                <c:lvl>
                  <c:pt idx="0">
                    <c:v>Monthly</c:v>
                  </c:pt>
                </c:lvl>
                <c:lvl>
                  <c:pt idx="0">
                    <c:v>Quarterly</c:v>
                  </c:pt>
                </c:lvl>
                <c:lvl>
                  <c:pt idx="0">
                    <c:v>Half-yearly</c:v>
                  </c:pt>
                </c:lvl>
                <c:lvl>
                  <c:pt idx="0">
                    <c:v>Annually</c:v>
                  </c:pt>
                </c:lvl>
              </c:multiLvlStrCache>
            </c:multiLvlStrRef>
          </c:cat>
          <c:val>
            <c:numRef>
              <c:f>'3 Compounding periods'!$B$12:$F$12</c:f>
              <c:numCache>
                <c:formatCode>\$#,##0.00</c:formatCode>
                <c:ptCount val="5"/>
                <c:pt idx="0">
                  <c:v>0</c:v>
                </c:pt>
                <c:pt idx="1">
                  <c:v>152.635381265605</c:v>
                </c:pt>
                <c:pt idx="2">
                  <c:v>231.707121260901</c:v>
                </c:pt>
                <c:pt idx="3">
                  <c:v>285.490374894354</c:v>
                </c:pt>
                <c:pt idx="4">
                  <c:v>311.812579955727</c:v>
                </c:pt>
              </c:numCache>
            </c:numRef>
          </c:val>
        </c:ser>
        <c:gapWidth val="150"/>
        <c:overlap val="0"/>
        <c:axId val="46241628"/>
        <c:axId val="37968210"/>
      </c:barChart>
      <c:catAx>
        <c:axId val="46241628"/>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Compounding frequency</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7968210"/>
        <c:crosses val="autoZero"/>
        <c:auto val="1"/>
        <c:lblAlgn val="ctr"/>
        <c:lblOffset val="100"/>
        <c:noMultiLvlLbl val="0"/>
      </c:catAx>
      <c:valAx>
        <c:axId val="37968210"/>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Extra interest</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6241628"/>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Value of the laptop over time</a:t>
            </a:r>
          </a:p>
        </c:rich>
      </c:tx>
      <c:overlay val="0"/>
      <c:spPr>
        <a:noFill/>
        <a:ln w="0">
          <a:noFill/>
        </a:ln>
      </c:spPr>
    </c:title>
    <c:autoTitleDeleted val="0"/>
    <c:plotArea>
      <c:lineChart>
        <c:grouping val="standard"/>
        <c:varyColors val="0"/>
        <c:ser>
          <c:idx val="0"/>
          <c:order val="0"/>
          <c:tx>
            <c:strRef>
              <c:f>'4 Depreciation'!B14</c:f>
              <c:strCache>
                <c:ptCount val="1"/>
                <c:pt idx="0">
                  <c:v>Straight-line value ($)</c:v>
                </c:pt>
              </c:strCache>
            </c:strRef>
          </c:tx>
          <c:spPr>
            <a:solidFill>
              <a:srgbClr val="4a7ebb"/>
            </a:solidFill>
            <a:ln w="2412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'4 Depreciation'!$A$15:$A$25</c:f>
              <c:strCache>
                <c:ptCount val="11"/>
                <c:pt idx="0">
                  <c:v>0</c:v>
                </c:pt>
                <c:pt idx="1">
                  <c:v>1</c:v>
                </c:pt>
                <c:pt idx="2">
                  <c:v>2</c:v>
                </c:pt>
                <c:pt idx="3">
                  <c:v>3</c:v>
                </c:pt>
                <c:pt idx="4">
                  <c:v>4</c:v>
                </c:pt>
                <c:pt idx="5">
                  <c:v>5</c:v>
                </c:pt>
                <c:pt idx="6">
                  <c:v>6</c:v>
                </c:pt>
                <c:pt idx="7">
                  <c:v>7</c:v>
                </c:pt>
                <c:pt idx="8">
                  <c:v>8</c:v>
                </c:pt>
                <c:pt idx="9">
                  <c:v>9</c:v>
                </c:pt>
                <c:pt idx="10">
                  <c:v>10</c:v>
                </c:pt>
              </c:strCache>
            </c:strRef>
          </c:cat>
          <c:val>
            <c:numRef>
              <c:f>'4 Depreciation'!$B$15:$B$25</c:f>
              <c:numCache>
                <c:formatCode>\$#,##0.00</c:formatCode>
                <c:ptCount val="11"/>
                <c:pt idx="0">
                  <c:v>2400</c:v>
                </c:pt>
                <c:pt idx="1">
                  <c:v>2100</c:v>
                </c:pt>
                <c:pt idx="2">
                  <c:v>1800</c:v>
                </c:pt>
                <c:pt idx="3">
                  <c:v>1500</c:v>
                </c:pt>
                <c:pt idx="4">
                  <c:v>1200</c:v>
                </c:pt>
                <c:pt idx="5">
                  <c:v>900</c:v>
                </c:pt>
                <c:pt idx="6">
                  <c:v>600</c:v>
                </c:pt>
                <c:pt idx="7">
                  <c:v>300</c:v>
                </c:pt>
                <c:pt idx="8">
                  <c:v>0</c:v>
                </c:pt>
                <c:pt idx="9">
                  <c:v>0</c:v>
                </c:pt>
                <c:pt idx="10">
                  <c:v>0</c:v>
                </c:pt>
              </c:numCache>
            </c:numRef>
          </c:val>
          <c:smooth val="0"/>
        </c:ser>
        <c:ser>
          <c:idx val="1"/>
          <c:order val="1"/>
          <c:tx>
            <c:strRef>
              <c:f>'4 Depreciation'!C14</c:f>
              <c:strCache>
                <c:ptCount val="1"/>
                <c:pt idx="0">
                  <c:v>Declining-balance value ($)</c:v>
                </c:pt>
              </c:strCache>
            </c:strRef>
          </c:tx>
          <c:spPr>
            <a:solidFill>
              <a:srgbClr val="be4b48"/>
            </a:solidFill>
            <a:ln w="2412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'4 Depreciation'!$A$15:$A$25</c:f>
              <c:strCache>
                <c:ptCount val="11"/>
                <c:pt idx="0">
                  <c:v>0</c:v>
                </c:pt>
                <c:pt idx="1">
                  <c:v>1</c:v>
                </c:pt>
                <c:pt idx="2">
                  <c:v>2</c:v>
                </c:pt>
                <c:pt idx="3">
                  <c:v>3</c:v>
                </c:pt>
                <c:pt idx="4">
                  <c:v>4</c:v>
                </c:pt>
                <c:pt idx="5">
                  <c:v>5</c:v>
                </c:pt>
                <c:pt idx="6">
                  <c:v>6</c:v>
                </c:pt>
                <c:pt idx="7">
                  <c:v>7</c:v>
                </c:pt>
                <c:pt idx="8">
                  <c:v>8</c:v>
                </c:pt>
                <c:pt idx="9">
                  <c:v>9</c:v>
                </c:pt>
                <c:pt idx="10">
                  <c:v>10</c:v>
                </c:pt>
              </c:strCache>
            </c:strRef>
          </c:cat>
          <c:val>
            <c:numRef>
              <c:f>'4 Depreciation'!$C$15:$C$25</c:f>
              <c:numCache>
                <c:formatCode>\$#,##0.00</c:formatCode>
                <c:ptCount val="11"/>
                <c:pt idx="0">
                  <c:v>2400</c:v>
                </c:pt>
                <c:pt idx="1">
                  <c:v>1800</c:v>
                </c:pt>
                <c:pt idx="2">
                  <c:v>1350</c:v>
                </c:pt>
                <c:pt idx="3">
                  <c:v>1012.5</c:v>
                </c:pt>
                <c:pt idx="4">
                  <c:v>759.375</c:v>
                </c:pt>
                <c:pt idx="5">
                  <c:v>569.53125</c:v>
                </c:pt>
                <c:pt idx="6">
                  <c:v>427.1484375</c:v>
                </c:pt>
                <c:pt idx="7">
                  <c:v>320.361328125</c:v>
                </c:pt>
                <c:pt idx="8">
                  <c:v>240.27099609375</c:v>
                </c:pt>
                <c:pt idx="9">
                  <c:v>180.203247070313</c:v>
                </c:pt>
                <c:pt idx="10">
                  <c:v>135.152435302734</c:v>
                </c:pt>
              </c:numCache>
            </c:numRef>
          </c:val>
          <c:smooth val="0"/>
        </c:ser>
        <c:hiLowLines>
          <c:spPr>
            <a:ln w="0">
              <a:noFill/>
            </a:ln>
          </c:spPr>
        </c:hiLowLines>
        <c:marker val="0"/>
        <c:axId val="65297170"/>
        <c:axId val="8014625"/>
      </c:lineChart>
      <c:catAx>
        <c:axId val="65297170"/>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Year</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014625"/>
        <c:crosses val="autoZero"/>
        <c:auto val="1"/>
        <c:lblAlgn val="ctr"/>
        <c:lblOffset val="100"/>
        <c:noMultiLvlLbl val="0"/>
      </c:catAx>
      <c:valAx>
        <c:axId val="8014625"/>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Value</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5297170"/>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Balance owing on the loan</a:t>
            </a:r>
          </a:p>
        </c:rich>
      </c:tx>
      <c:overlay val="0"/>
      <c:spPr>
        <a:noFill/>
        <a:ln w="0">
          <a:noFill/>
        </a:ln>
      </c:spPr>
    </c:title>
    <c:autoTitleDeleted val="0"/>
    <c:plotArea>
      <c:lineChart>
        <c:grouping val="standard"/>
        <c:varyColors val="0"/>
        <c:ser>
          <c:idx val="0"/>
          <c:order val="0"/>
          <c:tx>
            <c:strRef>
              <c:f>'5 Home loan'!F24</c:f>
              <c:strCache>
                <c:ptCount val="1"/>
                <c:pt idx="0">
                  <c:v>Closing balance ($)</c:v>
                </c:pt>
              </c:strCache>
            </c:strRef>
          </c:tx>
          <c:spPr>
            <a:solidFill>
              <a:srgbClr val="4a7ebb"/>
            </a:solidFill>
            <a:ln w="2412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'5 Home loan'!$A$25:$A$384</c:f>
              <c:strCache>
                <c:ptCount val="3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strCache>
            </c:strRef>
          </c:cat>
          <c:val>
            <c:numRef>
              <c:f>'5 Home loan'!$F$25:$F$384</c:f>
              <c:numCache>
                <c:formatCode>\$#,##0.00;[RED]"-$"#,##0.00;\-</c:formatCode>
                <c:ptCount val="360"/>
                <c:pt idx="0">
                  <c:v>499502.24</c:v>
                </c:pt>
                <c:pt idx="1">
                  <c:v>499001.9912</c:v>
                </c:pt>
                <c:pt idx="2">
                  <c:v>498499.241156</c:v>
                </c:pt>
                <c:pt idx="3">
                  <c:v>497993.97736178</c:v>
                </c:pt>
                <c:pt idx="4">
                  <c:v>497486.187248589</c:v>
                </c:pt>
                <c:pt idx="5">
                  <c:v>496975.858184832</c:v>
                </c:pt>
                <c:pt idx="6">
                  <c:v>496462.977475756</c:v>
                </c:pt>
                <c:pt idx="7">
                  <c:v>495947.532363135</c:v>
                </c:pt>
                <c:pt idx="8">
                  <c:v>495429.51002495</c:v>
                </c:pt>
                <c:pt idx="9">
                  <c:v>494908.897575075</c:v>
                </c:pt>
                <c:pt idx="10">
                  <c:v>494385.68206295</c:v>
                </c:pt>
                <c:pt idx="11">
                  <c:v>493859.850473265</c:v>
                </c:pt>
                <c:pt idx="12">
                  <c:v>493331.389725632</c:v>
                </c:pt>
                <c:pt idx="13">
                  <c:v>492800.28667426</c:v>
                </c:pt>
                <c:pt idx="14">
                  <c:v>492266.528107631</c:v>
                </c:pt>
                <c:pt idx="15">
                  <c:v>491730.100748169</c:v>
                </c:pt>
                <c:pt idx="16">
                  <c:v>491190.99125191</c:v>
                </c:pt>
                <c:pt idx="17">
                  <c:v>490649.186208169</c:v>
                </c:pt>
                <c:pt idx="18">
                  <c:v>490104.67213921</c:v>
                </c:pt>
                <c:pt idx="19">
                  <c:v>489557.435499906</c:v>
                </c:pt>
                <c:pt idx="20">
                  <c:v>489007.462677406</c:v>
                </c:pt>
                <c:pt idx="21">
                  <c:v>488454.739990793</c:v>
                </c:pt>
                <c:pt idx="22">
                  <c:v>487899.253690747</c:v>
                </c:pt>
                <c:pt idx="23">
                  <c:v>487340.989959201</c:v>
                </c:pt>
                <c:pt idx="24">
                  <c:v>486779.934908997</c:v>
                </c:pt>
                <c:pt idx="25">
                  <c:v>486216.074583542</c:v>
                </c:pt>
                <c:pt idx="26">
                  <c:v>485649.394956459</c:v>
                </c:pt>
                <c:pt idx="27">
                  <c:v>485079.881931242</c:v>
                </c:pt>
                <c:pt idx="28">
                  <c:v>484507.521340898</c:v>
                </c:pt>
                <c:pt idx="29">
                  <c:v>483932.298947602</c:v>
                </c:pt>
                <c:pt idx="30">
                  <c:v>483354.20044234</c:v>
                </c:pt>
                <c:pt idx="31">
                  <c:v>482773.211444552</c:v>
                </c:pt>
                <c:pt idx="32">
                  <c:v>482189.317501775</c:v>
                </c:pt>
                <c:pt idx="33">
                  <c:v>481602.504089284</c:v>
                </c:pt>
                <c:pt idx="34">
                  <c:v>481012.75660973</c:v>
                </c:pt>
                <c:pt idx="35">
                  <c:v>480420.060392779</c:v>
                </c:pt>
                <c:pt idx="36">
                  <c:v>479824.400694743</c:v>
                </c:pt>
                <c:pt idx="37">
                  <c:v>479225.762698216</c:v>
                </c:pt>
                <c:pt idx="38">
                  <c:v>478624.131511707</c:v>
                </c:pt>
                <c:pt idx="39">
                  <c:v>478019.492169266</c:v>
                </c:pt>
                <c:pt idx="40">
                  <c:v>477411.829630112</c:v>
                </c:pt>
                <c:pt idx="41">
                  <c:v>476801.128778263</c:v>
                </c:pt>
                <c:pt idx="42">
                  <c:v>476187.374422154</c:v>
                </c:pt>
                <c:pt idx="43">
                  <c:v>475570.551294265</c:v>
                </c:pt>
                <c:pt idx="44">
                  <c:v>474950.644050736</c:v>
                </c:pt>
                <c:pt idx="45">
                  <c:v>474327.63727099</c:v>
                </c:pt>
                <c:pt idx="46">
                  <c:v>473701.515457345</c:v>
                </c:pt>
                <c:pt idx="47">
                  <c:v>473072.263034631</c:v>
                </c:pt>
                <c:pt idx="48">
                  <c:v>472439.864349805</c:v>
                </c:pt>
                <c:pt idx="49">
                  <c:v>471804.303671554</c:v>
                </c:pt>
                <c:pt idx="50">
                  <c:v>471165.565189911</c:v>
                </c:pt>
                <c:pt idx="51">
                  <c:v>470523.633015861</c:v>
                </c:pt>
                <c:pt idx="52">
                  <c:v>469878.49118094</c:v>
                </c:pt>
                <c:pt idx="53">
                  <c:v>469230.123636845</c:v>
                </c:pt>
                <c:pt idx="54">
                  <c:v>468578.514255029</c:v>
                </c:pt>
                <c:pt idx="55">
                  <c:v>467923.646826304</c:v>
                </c:pt>
                <c:pt idx="56">
                  <c:v>467265.505060436</c:v>
                </c:pt>
                <c:pt idx="57">
                  <c:v>466604.072585738</c:v>
                </c:pt>
                <c:pt idx="58">
                  <c:v>465939.332948667</c:v>
                </c:pt>
                <c:pt idx="59">
                  <c:v>465271.26961341</c:v>
                </c:pt>
                <c:pt idx="60">
                  <c:v>464599.865961477</c:v>
                </c:pt>
                <c:pt idx="61">
                  <c:v>463925.105291284</c:v>
                </c:pt>
                <c:pt idx="62">
                  <c:v>463246.970817741</c:v>
                </c:pt>
                <c:pt idx="63">
                  <c:v>462565.44567183</c:v>
                </c:pt>
                <c:pt idx="64">
                  <c:v>461880.512900189</c:v>
                </c:pt>
                <c:pt idx="65">
                  <c:v>461192.15546469</c:v>
                </c:pt>
                <c:pt idx="66">
                  <c:v>460500.356242013</c:v>
                </c:pt>
                <c:pt idx="67">
                  <c:v>459805.098023223</c:v>
                </c:pt>
                <c:pt idx="68">
                  <c:v>459106.363513339</c:v>
                </c:pt>
                <c:pt idx="69">
                  <c:v>458404.135330906</c:v>
                </c:pt>
                <c:pt idx="70">
                  <c:v>457698.39600756</c:v>
                </c:pt>
                <c:pt idx="71">
                  <c:v>456989.127987598</c:v>
                </c:pt>
                <c:pt idx="72">
                  <c:v>456276.313627536</c:v>
                </c:pt>
                <c:pt idx="73">
                  <c:v>455559.935195674</c:v>
                </c:pt>
                <c:pt idx="74">
                  <c:v>454839.974871652</c:v>
                </c:pt>
                <c:pt idx="75">
                  <c:v>454116.41474601</c:v>
                </c:pt>
                <c:pt idx="76">
                  <c:v>453389.236819741</c:v>
                </c:pt>
                <c:pt idx="77">
                  <c:v>452658.423003839</c:v>
                </c:pt>
                <c:pt idx="78">
                  <c:v>451923.955118858</c:v>
                </c:pt>
                <c:pt idx="79">
                  <c:v>451185.814894453</c:v>
                </c:pt>
                <c:pt idx="80">
                  <c:v>450443.983968925</c:v>
                </c:pt>
                <c:pt idx="81">
                  <c:v>449698.44388877</c:v>
                </c:pt>
                <c:pt idx="82">
                  <c:v>448949.176108213</c:v>
                </c:pt>
                <c:pt idx="83">
                  <c:v>448196.161988754</c:v>
                </c:pt>
                <c:pt idx="84">
                  <c:v>447439.382798698</c:v>
                </c:pt>
                <c:pt idx="85">
                  <c:v>446678.819712692</c:v>
                </c:pt>
                <c:pt idx="86">
                  <c:v>445914.453811255</c:v>
                </c:pt>
                <c:pt idx="87">
                  <c:v>445146.266080311</c:v>
                </c:pt>
                <c:pt idx="88">
                  <c:v>444374.237410713</c:v>
                </c:pt>
                <c:pt idx="89">
                  <c:v>443598.348597767</c:v>
                </c:pt>
                <c:pt idx="90">
                  <c:v>442818.580340755</c:v>
                </c:pt>
                <c:pt idx="91">
                  <c:v>442034.913242459</c:v>
                </c:pt>
                <c:pt idx="92">
                  <c:v>441247.327808671</c:v>
                </c:pt>
                <c:pt idx="93">
                  <c:v>440455.804447715</c:v>
                </c:pt>
                <c:pt idx="94">
                  <c:v>439660.323469953</c:v>
                </c:pt>
                <c:pt idx="95">
                  <c:v>438860.865087303</c:v>
                </c:pt>
                <c:pt idx="96">
                  <c:v>438057.40941274</c:v>
                </c:pt>
                <c:pt idx="97">
                  <c:v>437249.936459803</c:v>
                </c:pt>
                <c:pt idx="98">
                  <c:v>436438.426142102</c:v>
                </c:pt>
                <c:pt idx="99">
                  <c:v>435622.858272813</c:v>
                </c:pt>
                <c:pt idx="100">
                  <c:v>434803.212564177</c:v>
                </c:pt>
                <c:pt idx="101">
                  <c:v>433979.468626998</c:v>
                </c:pt>
                <c:pt idx="102">
                  <c:v>433151.605970133</c:v>
                </c:pt>
                <c:pt idx="103">
                  <c:v>432319.603999983</c:v>
                </c:pt>
                <c:pt idx="104">
                  <c:v>431483.442019983</c:v>
                </c:pt>
                <c:pt idx="105">
                  <c:v>430643.099230083</c:v>
                </c:pt>
                <c:pt idx="106">
                  <c:v>429798.554726234</c:v>
                </c:pt>
                <c:pt idx="107">
                  <c:v>428949.787499865</c:v>
                </c:pt>
                <c:pt idx="108">
                  <c:v>428096.776437364</c:v>
                </c:pt>
                <c:pt idx="109">
                  <c:v>427239.500319551</c:v>
                </c:pt>
                <c:pt idx="110">
                  <c:v>426377.937821149</c:v>
                </c:pt>
                <c:pt idx="111">
                  <c:v>425512.067510254</c:v>
                </c:pt>
                <c:pt idx="112">
                  <c:v>424641.867847806</c:v>
                </c:pt>
                <c:pt idx="113">
                  <c:v>423767.317187045</c:v>
                </c:pt>
                <c:pt idx="114">
                  <c:v>422888.39377298</c:v>
                </c:pt>
                <c:pt idx="115">
                  <c:v>422005.075741845</c:v>
                </c:pt>
                <c:pt idx="116">
                  <c:v>421117.341120554</c:v>
                </c:pt>
                <c:pt idx="117">
                  <c:v>420225.167826157</c:v>
                </c:pt>
                <c:pt idx="118">
                  <c:v>419328.533665288</c:v>
                </c:pt>
                <c:pt idx="119">
                  <c:v>418427.416333614</c:v>
                </c:pt>
                <c:pt idx="120">
                  <c:v>417521.793415282</c:v>
                </c:pt>
                <c:pt idx="121">
                  <c:v>416611.642382358</c:v>
                </c:pt>
                <c:pt idx="122">
                  <c:v>415696.94059427</c:v>
                </c:pt>
                <c:pt idx="123">
                  <c:v>414777.665297242</c:v>
                </c:pt>
                <c:pt idx="124">
                  <c:v>413853.793623728</c:v>
                </c:pt>
                <c:pt idx="125">
                  <c:v>412925.302591846</c:v>
                </c:pt>
                <c:pt idx="126">
                  <c:v>411992.169104806</c:v>
                </c:pt>
                <c:pt idx="127">
                  <c:v>411054.36995033</c:v>
                </c:pt>
                <c:pt idx="128">
                  <c:v>410111.881800081</c:v>
                </c:pt>
                <c:pt idx="129">
                  <c:v>409164.681209082</c:v>
                </c:pt>
                <c:pt idx="130">
                  <c:v>408212.744615127</c:v>
                </c:pt>
                <c:pt idx="131">
                  <c:v>407256.048338203</c:v>
                </c:pt>
                <c:pt idx="132">
                  <c:v>406294.568579894</c:v>
                </c:pt>
                <c:pt idx="133">
                  <c:v>405328.281422793</c:v>
                </c:pt>
                <c:pt idx="134">
                  <c:v>404357.162829907</c:v>
                </c:pt>
                <c:pt idx="135">
                  <c:v>403381.188644057</c:v>
                </c:pt>
                <c:pt idx="136">
                  <c:v>402400.334587277</c:v>
                </c:pt>
                <c:pt idx="137">
                  <c:v>401414.576260213</c:v>
                </c:pt>
                <c:pt idx="138">
                  <c:v>400423.889141514</c:v>
                </c:pt>
                <c:pt idx="139">
                  <c:v>399428.248587222</c:v>
                </c:pt>
                <c:pt idx="140">
                  <c:v>398427.629830158</c:v>
                </c:pt>
                <c:pt idx="141">
                  <c:v>397422.007979309</c:v>
                </c:pt>
                <c:pt idx="142">
                  <c:v>396411.358019205</c:v>
                </c:pt>
                <c:pt idx="143">
                  <c:v>395395.654809301</c:v>
                </c:pt>
                <c:pt idx="144">
                  <c:v>394374.873083348</c:v>
                </c:pt>
                <c:pt idx="145">
                  <c:v>393348.987448765</c:v>
                </c:pt>
                <c:pt idx="146">
                  <c:v>392317.972386008</c:v>
                </c:pt>
                <c:pt idx="147">
                  <c:v>391281.802247938</c:v>
                </c:pt>
                <c:pt idx="148">
                  <c:v>390240.451259178</c:v>
                </c:pt>
                <c:pt idx="149">
                  <c:v>389193.893515474</c:v>
                </c:pt>
                <c:pt idx="150">
                  <c:v>388142.102983051</c:v>
                </c:pt>
                <c:pt idx="151">
                  <c:v>387085.053497967</c:v>
                </c:pt>
                <c:pt idx="152">
                  <c:v>386022.718765456</c:v>
                </c:pt>
                <c:pt idx="153">
                  <c:v>384955.072359284</c:v>
                </c:pt>
                <c:pt idx="154">
                  <c:v>383882.08772108</c:v>
                </c:pt>
                <c:pt idx="155">
                  <c:v>382803.738159686</c:v>
                </c:pt>
                <c:pt idx="156">
                  <c:v>381719.996850484</c:v>
                </c:pt>
                <c:pt idx="157">
                  <c:v>380630.836834736</c:v>
                </c:pt>
                <c:pt idx="158">
                  <c:v>379536.23101891</c:v>
                </c:pt>
                <c:pt idx="159">
                  <c:v>378436.152174005</c:v>
                </c:pt>
                <c:pt idx="160">
                  <c:v>377330.572934875</c:v>
                </c:pt>
                <c:pt idx="161">
                  <c:v>376219.465799549</c:v>
                </c:pt>
                <c:pt idx="162">
                  <c:v>375102.803128547</c:v>
                </c:pt>
                <c:pt idx="163">
                  <c:v>373980.55714419</c:v>
                </c:pt>
                <c:pt idx="164">
                  <c:v>372852.69992991</c:v>
                </c:pt>
                <c:pt idx="165">
                  <c:v>371719.20342956</c:v>
                </c:pt>
                <c:pt idx="166">
                  <c:v>370580.039446708</c:v>
                </c:pt>
                <c:pt idx="167">
                  <c:v>369435.179643941</c:v>
                </c:pt>
                <c:pt idx="168">
                  <c:v>368284.595542161</c:v>
                </c:pt>
                <c:pt idx="169">
                  <c:v>367128.258519872</c:v>
                </c:pt>
                <c:pt idx="170">
                  <c:v>365966.139812471</c:v>
                </c:pt>
                <c:pt idx="171">
                  <c:v>364798.210511534</c:v>
                </c:pt>
                <c:pt idx="172">
                  <c:v>363624.441564091</c:v>
                </c:pt>
                <c:pt idx="173">
                  <c:v>362444.803771912</c:v>
                </c:pt>
                <c:pt idx="174">
                  <c:v>361259.267790771</c:v>
                </c:pt>
                <c:pt idx="175">
                  <c:v>360067.804129725</c:v>
                </c:pt>
                <c:pt idx="176">
                  <c:v>358870.383150374</c:v>
                </c:pt>
                <c:pt idx="177">
                  <c:v>357666.975066125</c:v>
                </c:pt>
                <c:pt idx="178">
                  <c:v>356457.549941456</c:v>
                </c:pt>
                <c:pt idx="179">
                  <c:v>355242.077691163</c:v>
                </c:pt>
                <c:pt idx="180">
                  <c:v>354020.528079619</c:v>
                </c:pt>
                <c:pt idx="181">
                  <c:v>352792.870720017</c:v>
                </c:pt>
                <c:pt idx="182">
                  <c:v>351559.075073617</c:v>
                </c:pt>
                <c:pt idx="183">
                  <c:v>350319.110448985</c:v>
                </c:pt>
                <c:pt idx="184">
                  <c:v>349072.94600123</c:v>
                </c:pt>
                <c:pt idx="185">
                  <c:v>347820.550731236</c:v>
                </c:pt>
                <c:pt idx="186">
                  <c:v>346561.893484893</c:v>
                </c:pt>
                <c:pt idx="187">
                  <c:v>345296.942952317</c:v>
                </c:pt>
                <c:pt idx="188">
                  <c:v>344025.667667079</c:v>
                </c:pt>
                <c:pt idx="189">
                  <c:v>342748.036005414</c:v>
                </c:pt>
                <c:pt idx="190">
                  <c:v>341464.016185441</c:v>
                </c:pt>
                <c:pt idx="191">
                  <c:v>340173.576266368</c:v>
                </c:pt>
                <c:pt idx="192">
                  <c:v>338876.6841477</c:v>
                </c:pt>
                <c:pt idx="193">
                  <c:v>337573.307568439</c:v>
                </c:pt>
                <c:pt idx="194">
                  <c:v>336263.414106281</c:v>
                </c:pt>
                <c:pt idx="195">
                  <c:v>334946.971176812</c:v>
                </c:pt>
                <c:pt idx="196">
                  <c:v>333623.946032696</c:v>
                </c:pt>
                <c:pt idx="197">
                  <c:v>332294.30576286</c:v>
                </c:pt>
                <c:pt idx="198">
                  <c:v>330958.017291674</c:v>
                </c:pt>
                <c:pt idx="199">
                  <c:v>329615.047378132</c:v>
                </c:pt>
                <c:pt idx="200">
                  <c:v>328265.362615023</c:v>
                </c:pt>
                <c:pt idx="201">
                  <c:v>326908.929428098</c:v>
                </c:pt>
                <c:pt idx="202">
                  <c:v>325545.714075239</c:v>
                </c:pt>
                <c:pt idx="203">
                  <c:v>324175.682645615</c:v>
                </c:pt>
                <c:pt idx="204">
                  <c:v>322798.801058843</c:v>
                </c:pt>
                <c:pt idx="205">
                  <c:v>321415.035064137</c:v>
                </c:pt>
                <c:pt idx="206">
                  <c:v>320024.350239458</c:v>
                </c:pt>
                <c:pt idx="207">
                  <c:v>318626.711990655</c:v>
                </c:pt>
                <c:pt idx="208">
                  <c:v>317222.085550608</c:v>
                </c:pt>
                <c:pt idx="209">
                  <c:v>315810.435978361</c:v>
                </c:pt>
                <c:pt idx="210">
                  <c:v>314391.728158253</c:v>
                </c:pt>
                <c:pt idx="211">
                  <c:v>312965.926799044</c:v>
                </c:pt>
                <c:pt idx="212">
                  <c:v>311532.99643304</c:v>
                </c:pt>
                <c:pt idx="213">
                  <c:v>310092.901415205</c:v>
                </c:pt>
                <c:pt idx="214">
                  <c:v>308645.605922281</c:v>
                </c:pt>
                <c:pt idx="215">
                  <c:v>307191.073951892</c:v>
                </c:pt>
                <c:pt idx="216">
                  <c:v>305729.269321652</c:v>
                </c:pt>
                <c:pt idx="217">
                  <c:v>304260.15566826</c:v>
                </c:pt>
                <c:pt idx="218">
                  <c:v>302783.696446601</c:v>
                </c:pt>
                <c:pt idx="219">
                  <c:v>301299.854928834</c:v>
                </c:pt>
                <c:pt idx="220">
                  <c:v>299808.594203478</c:v>
                </c:pt>
                <c:pt idx="221">
                  <c:v>298309.877174496</c:v>
                </c:pt>
                <c:pt idx="222">
                  <c:v>296803.666560368</c:v>
                </c:pt>
                <c:pt idx="223">
                  <c:v>295289.92489317</c:v>
                </c:pt>
                <c:pt idx="224">
                  <c:v>293768.614517636</c:v>
                </c:pt>
                <c:pt idx="225">
                  <c:v>292239.697590224</c:v>
                </c:pt>
                <c:pt idx="226">
                  <c:v>290703.136078175</c:v>
                </c:pt>
                <c:pt idx="227">
                  <c:v>289158.891758566</c:v>
                </c:pt>
                <c:pt idx="228">
                  <c:v>287606.926217359</c:v>
                </c:pt>
                <c:pt idx="229">
                  <c:v>286047.200848446</c:v>
                </c:pt>
                <c:pt idx="230">
                  <c:v>284479.676852688</c:v>
                </c:pt>
                <c:pt idx="231">
                  <c:v>282904.315236951</c:v>
                </c:pt>
                <c:pt idx="232">
                  <c:v>281321.076813136</c:v>
                </c:pt>
                <c:pt idx="233">
                  <c:v>279729.922197202</c:v>
                </c:pt>
                <c:pt idx="234">
                  <c:v>278130.811808188</c:v>
                </c:pt>
                <c:pt idx="235">
                  <c:v>276523.705867229</c:v>
                </c:pt>
                <c:pt idx="236">
                  <c:v>274908.564396565</c:v>
                </c:pt>
                <c:pt idx="237">
                  <c:v>273285.347218548</c:v>
                </c:pt>
                <c:pt idx="238">
                  <c:v>271654.01395464</c:v>
                </c:pt>
                <c:pt idx="239">
                  <c:v>270014.524024413</c:v>
                </c:pt>
                <c:pt idx="240">
                  <c:v>268366.836644535</c:v>
                </c:pt>
                <c:pt idx="241">
                  <c:v>266710.910827758</c:v>
                </c:pt>
                <c:pt idx="242">
                  <c:v>265046.705381897</c:v>
                </c:pt>
                <c:pt idx="243">
                  <c:v>263374.178908806</c:v>
                </c:pt>
                <c:pt idx="244">
                  <c:v>261693.28980335</c:v>
                </c:pt>
                <c:pt idx="245">
                  <c:v>260003.996252367</c:v>
                </c:pt>
                <c:pt idx="246">
                  <c:v>258306.256233629</c:v>
                </c:pt>
                <c:pt idx="247">
                  <c:v>256600.027514797</c:v>
                </c:pt>
                <c:pt idx="248">
                  <c:v>254885.267652371</c:v>
                </c:pt>
                <c:pt idx="249">
                  <c:v>253161.933990633</c:v>
                </c:pt>
                <c:pt idx="250">
                  <c:v>251429.983660586</c:v>
                </c:pt>
                <c:pt idx="251">
                  <c:v>249689.373578889</c:v>
                </c:pt>
                <c:pt idx="252">
                  <c:v>247940.060446783</c:v>
                </c:pt>
                <c:pt idx="253">
                  <c:v>246182.000749017</c:v>
                </c:pt>
                <c:pt idx="254">
                  <c:v>244415.150752762</c:v>
                </c:pt>
                <c:pt idx="255">
                  <c:v>242639.466506526</c:v>
                </c:pt>
                <c:pt idx="256">
                  <c:v>240854.903839059</c:v>
                </c:pt>
                <c:pt idx="257">
                  <c:v>239061.418358254</c:v>
                </c:pt>
                <c:pt idx="258">
                  <c:v>237258.965450045</c:v>
                </c:pt>
                <c:pt idx="259">
                  <c:v>235447.500277296</c:v>
                </c:pt>
                <c:pt idx="260">
                  <c:v>233626.977778682</c:v>
                </c:pt>
                <c:pt idx="261">
                  <c:v>231797.352667575</c:v>
                </c:pt>
                <c:pt idx="262">
                  <c:v>229958.579430913</c:v>
                </c:pt>
                <c:pt idx="263">
                  <c:v>228110.612328068</c:v>
                </c:pt>
                <c:pt idx="264">
                  <c:v>226253.405389708</c:v>
                </c:pt>
                <c:pt idx="265">
                  <c:v>224386.912416657</c:v>
                </c:pt>
                <c:pt idx="266">
                  <c:v>222511.08697874</c:v>
                </c:pt>
                <c:pt idx="267">
                  <c:v>220625.882413634</c:v>
                </c:pt>
                <c:pt idx="268">
                  <c:v>218731.251825702</c:v>
                </c:pt>
                <c:pt idx="269">
                  <c:v>216827.14808483</c:v>
                </c:pt>
                <c:pt idx="270">
                  <c:v>214913.523825255</c:v>
                </c:pt>
                <c:pt idx="271">
                  <c:v>212990.331444381</c:v>
                </c:pt>
                <c:pt idx="272">
                  <c:v>211057.523101603</c:v>
                </c:pt>
                <c:pt idx="273">
                  <c:v>209115.050717111</c:v>
                </c:pt>
                <c:pt idx="274">
                  <c:v>207162.865970696</c:v>
                </c:pt>
                <c:pt idx="275">
                  <c:v>205200.92030055</c:v>
                </c:pt>
                <c:pt idx="276">
                  <c:v>203229.164902052</c:v>
                </c:pt>
                <c:pt idx="277">
                  <c:v>201247.550726563</c:v>
                </c:pt>
                <c:pt idx="278">
                  <c:v>199256.028480196</c:v>
                </c:pt>
                <c:pt idx="279">
                  <c:v>197254.548622596</c:v>
                </c:pt>
                <c:pt idx="280">
                  <c:v>195243.061365709</c:v>
                </c:pt>
                <c:pt idx="281">
                  <c:v>193221.516672538</c:v>
                </c:pt>
                <c:pt idx="282">
                  <c:v>191189.864255901</c:v>
                </c:pt>
                <c:pt idx="283">
                  <c:v>189148.05357718</c:v>
                </c:pt>
                <c:pt idx="284">
                  <c:v>187096.033845066</c:v>
                </c:pt>
                <c:pt idx="285">
                  <c:v>185033.754014291</c:v>
                </c:pt>
                <c:pt idx="286">
                  <c:v>182961.162784363</c:v>
                </c:pt>
                <c:pt idx="287">
                  <c:v>180878.208598285</c:v>
                </c:pt>
                <c:pt idx="288">
                  <c:v>178784.839641276</c:v>
                </c:pt>
                <c:pt idx="289">
                  <c:v>176681.003839482</c:v>
                </c:pt>
                <c:pt idx="290">
                  <c:v>174566.64885868</c:v>
                </c:pt>
                <c:pt idx="291">
                  <c:v>172441.722102973</c:v>
                </c:pt>
                <c:pt idx="292">
                  <c:v>170306.170713488</c:v>
                </c:pt>
                <c:pt idx="293">
                  <c:v>168159.941567056</c:v>
                </c:pt>
                <c:pt idx="294">
                  <c:v>166002.981274891</c:v>
                </c:pt>
                <c:pt idx="295">
                  <c:v>163835.236181265</c:v>
                </c:pt>
                <c:pt idx="296">
                  <c:v>161656.652362172</c:v>
                </c:pt>
                <c:pt idx="297">
                  <c:v>159467.175623982</c:v>
                </c:pt>
                <c:pt idx="298">
                  <c:v>157266.751502102</c:v>
                </c:pt>
                <c:pt idx="299">
                  <c:v>155055.325259613</c:v>
                </c:pt>
                <c:pt idx="300">
                  <c:v>152832.841885911</c:v>
                </c:pt>
                <c:pt idx="301">
                  <c:v>150599.24609534</c:v>
                </c:pt>
                <c:pt idx="302">
                  <c:v>148354.482325817</c:v>
                </c:pt>
                <c:pt idx="303">
                  <c:v>146098.494737446</c:v>
                </c:pt>
                <c:pt idx="304">
                  <c:v>143831.227211133</c:v>
                </c:pt>
                <c:pt idx="305">
                  <c:v>141552.623347189</c:v>
                </c:pt>
                <c:pt idx="306">
                  <c:v>139262.626463925</c:v>
                </c:pt>
                <c:pt idx="307">
                  <c:v>136961.179596245</c:v>
                </c:pt>
                <c:pt idx="308">
                  <c:v>134648.225494226</c:v>
                </c:pt>
                <c:pt idx="309">
                  <c:v>132323.706621697</c:v>
                </c:pt>
                <c:pt idx="310">
                  <c:v>129987.565154805</c:v>
                </c:pt>
                <c:pt idx="311">
                  <c:v>127639.74298058</c:v>
                </c:pt>
                <c:pt idx="312">
                  <c:v>125280.181695482</c:v>
                </c:pt>
                <c:pt idx="313">
                  <c:v>122908.82260396</c:v>
                </c:pt>
                <c:pt idx="314">
                  <c:v>120525.60671698</c:v>
                </c:pt>
                <c:pt idx="315">
                  <c:v>118130.474750565</c:v>
                </c:pt>
                <c:pt idx="316">
                  <c:v>115723.367124317</c:v>
                </c:pt>
                <c:pt idx="317">
                  <c:v>113304.223959939</c:v>
                </c:pt>
                <c:pt idx="318">
                  <c:v>110872.985079739</c:v>
                </c:pt>
                <c:pt idx="319">
                  <c:v>108429.590005137</c:v>
                </c:pt>
                <c:pt idx="320">
                  <c:v>105973.977955163</c:v>
                </c:pt>
                <c:pt idx="321">
                  <c:v>103506.087844939</c:v>
                </c:pt>
                <c:pt idx="322">
                  <c:v>101025.858284164</c:v>
                </c:pt>
                <c:pt idx="323">
                  <c:v>98533.2275755844</c:v>
                </c:pt>
                <c:pt idx="324">
                  <c:v>96028.1337134623</c:v>
                </c:pt>
                <c:pt idx="325">
                  <c:v>93510.5143820297</c:v>
                </c:pt>
                <c:pt idx="326">
                  <c:v>90980.3069539398</c:v>
                </c:pt>
                <c:pt idx="327">
                  <c:v>88437.4484887095</c:v>
                </c:pt>
                <c:pt idx="328">
                  <c:v>85881.8757311531</c:v>
                </c:pt>
                <c:pt idx="329">
                  <c:v>83313.5251098088</c:v>
                </c:pt>
                <c:pt idx="330">
                  <c:v>80732.3327353579</c:v>
                </c:pt>
                <c:pt idx="331">
                  <c:v>78138.2343990347</c:v>
                </c:pt>
                <c:pt idx="332">
                  <c:v>75531.1655710298</c:v>
                </c:pt>
                <c:pt idx="333">
                  <c:v>72911.061398885</c:v>
                </c:pt>
                <c:pt idx="334">
                  <c:v>70277.8567058794</c:v>
                </c:pt>
                <c:pt idx="335">
                  <c:v>67631.4859894088</c:v>
                </c:pt>
                <c:pt idx="336">
                  <c:v>64971.8834193559</c:v>
                </c:pt>
                <c:pt idx="337">
                  <c:v>62298.9828364526</c:v>
                </c:pt>
                <c:pt idx="338">
                  <c:v>59612.7177506349</c:v>
                </c:pt>
                <c:pt idx="339">
                  <c:v>56913.0213393881</c:v>
                </c:pt>
                <c:pt idx="340">
                  <c:v>54199.826446085</c:v>
                </c:pt>
                <c:pt idx="341">
                  <c:v>51473.0655783154</c:v>
                </c:pt>
                <c:pt idx="342">
                  <c:v>48732.670906207</c:v>
                </c:pt>
                <c:pt idx="343">
                  <c:v>45978.5742607381</c:v>
                </c:pt>
                <c:pt idx="344">
                  <c:v>43210.7071320417</c:v>
                </c:pt>
                <c:pt idx="345">
                  <c:v>40429.000667702</c:v>
                </c:pt>
                <c:pt idx="346">
                  <c:v>37633.3856710405</c:v>
                </c:pt>
                <c:pt idx="347">
                  <c:v>34823.7925993957</c:v>
                </c:pt>
                <c:pt idx="348">
                  <c:v>32000.1515623926</c:v>
                </c:pt>
                <c:pt idx="349">
                  <c:v>29162.3923202046</c:v>
                </c:pt>
                <c:pt idx="350">
                  <c:v>26310.4442818056</c:v>
                </c:pt>
                <c:pt idx="351">
                  <c:v>23444.2365032146</c:v>
                </c:pt>
                <c:pt idx="352">
                  <c:v>20563.6976857307</c:v>
                </c:pt>
                <c:pt idx="353">
                  <c:v>17668.7561741594</c:v>
                </c:pt>
                <c:pt idx="354">
                  <c:v>14759.3399550302</c:v>
                </c:pt>
                <c:pt idx="355">
                  <c:v>11835.3766548053</c:v>
                </c:pt>
                <c:pt idx="356">
                  <c:v>8896.79353807935</c:v>
                </c:pt>
                <c:pt idx="357">
                  <c:v>5943.51750576975</c:v>
                </c:pt>
                <c:pt idx="358">
                  <c:v>2975.47509329859</c:v>
                </c:pt>
                <c:pt idx="359">
                  <c:v>0</c:v>
                </c:pt>
              </c:numCache>
            </c:numRef>
          </c:val>
          <c:smooth val="0"/>
        </c:ser>
        <c:hiLowLines>
          <c:spPr>
            <a:ln w="0">
              <a:noFill/>
            </a:ln>
          </c:spPr>
        </c:hiLowLines>
        <c:marker val="0"/>
        <c:axId val="26796180"/>
        <c:axId val="204998"/>
      </c:lineChart>
      <c:catAx>
        <c:axId val="26796180"/>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Repayment number</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04998"/>
        <c:crosses val="autoZero"/>
        <c:auto val="1"/>
        <c:lblAlgn val="ctr"/>
        <c:lblOffset val="100"/>
        <c:noMultiLvlLbl val="0"/>
      </c:catAx>
      <c:valAx>
        <c:axId val="204998"/>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Closing balance</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6796180"/>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Where each repayment goes: interest vs principal</a:t>
            </a:r>
          </a:p>
        </c:rich>
      </c:tx>
      <c:overlay val="0"/>
      <c:spPr>
        <a:noFill/>
        <a:ln w="0">
          <a:noFill/>
        </a:ln>
      </c:spPr>
    </c:title>
    <c:autoTitleDeleted val="0"/>
    <c:plotArea>
      <c:lineChart>
        <c:grouping val="standard"/>
        <c:varyColors val="0"/>
        <c:ser>
          <c:idx val="0"/>
          <c:order val="0"/>
          <c:tx>
            <c:strRef>
              <c:f>'5 Home loan'!C24</c:f>
              <c:strCache>
                <c:ptCount val="1"/>
                <c:pt idx="0">
                  <c:v>Interest ($)</c:v>
                </c:pt>
              </c:strCache>
            </c:strRef>
          </c:tx>
          <c:spPr>
            <a:solidFill>
              <a:srgbClr val="4a7ebb"/>
            </a:solidFill>
            <a:ln w="2412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'5 Home loan'!$A$25:$A$384</c:f>
              <c:strCache>
                <c:ptCount val="3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strCache>
            </c:strRef>
          </c:cat>
          <c:val>
            <c:numRef>
              <c:f>'5 Home loan'!$C$25:$C$384</c:f>
              <c:numCache>
                <c:formatCode>\$#,##0.00;[RED]"-$"#,##0.00;\-</c:formatCode>
                <c:ptCount val="360"/>
                <c:pt idx="0">
                  <c:v>2500</c:v>
                </c:pt>
                <c:pt idx="1">
                  <c:v>2497.5112</c:v>
                </c:pt>
                <c:pt idx="2">
                  <c:v>2495.009956</c:v>
                </c:pt>
                <c:pt idx="3">
                  <c:v>2492.49620578</c:v>
                </c:pt>
                <c:pt idx="4">
                  <c:v>2489.9698868089</c:v>
                </c:pt>
                <c:pt idx="5">
                  <c:v>2487.43093624294</c:v>
                </c:pt>
                <c:pt idx="6">
                  <c:v>2484.87929092416</c:v>
                </c:pt>
                <c:pt idx="7">
                  <c:v>2482.31488737878</c:v>
                </c:pt>
                <c:pt idx="8">
                  <c:v>2479.73766181567</c:v>
                </c:pt>
                <c:pt idx="9">
                  <c:v>2477.14755012475</c:v>
                </c:pt>
                <c:pt idx="10">
                  <c:v>2474.54448787538</c:v>
                </c:pt>
                <c:pt idx="11">
                  <c:v>2471.92841031475</c:v>
                </c:pt>
                <c:pt idx="12">
                  <c:v>2469.29925236633</c:v>
                </c:pt>
                <c:pt idx="13">
                  <c:v>2466.65694862816</c:v>
                </c:pt>
                <c:pt idx="14">
                  <c:v>2464.0014333713</c:v>
                </c:pt>
                <c:pt idx="15">
                  <c:v>2461.33264053815</c:v>
                </c:pt>
                <c:pt idx="16">
                  <c:v>2458.65050374085</c:v>
                </c:pt>
                <c:pt idx="17">
                  <c:v>2455.95495625955</c:v>
                </c:pt>
                <c:pt idx="18">
                  <c:v>2453.24593104085</c:v>
                </c:pt>
                <c:pt idx="19">
                  <c:v>2450.52336069605</c:v>
                </c:pt>
                <c:pt idx="20">
                  <c:v>2447.78717749953</c:v>
                </c:pt>
                <c:pt idx="21">
                  <c:v>2445.03731338703</c:v>
                </c:pt>
                <c:pt idx="22">
                  <c:v>2442.27369995396</c:v>
                </c:pt>
                <c:pt idx="23">
                  <c:v>2439.49626845373</c:v>
                </c:pt>
                <c:pt idx="24">
                  <c:v>2436.704949796</c:v>
                </c:pt>
                <c:pt idx="25">
                  <c:v>2433.89967454498</c:v>
                </c:pt>
                <c:pt idx="26">
                  <c:v>2431.08037291771</c:v>
                </c:pt>
                <c:pt idx="27">
                  <c:v>2428.2469747823</c:v>
                </c:pt>
                <c:pt idx="28">
                  <c:v>2425.39940965621</c:v>
                </c:pt>
                <c:pt idx="29">
                  <c:v>2422.53760670449</c:v>
                </c:pt>
                <c:pt idx="30">
                  <c:v>2419.66149473801</c:v>
                </c:pt>
                <c:pt idx="31">
                  <c:v>2416.7710022117</c:v>
                </c:pt>
                <c:pt idx="32">
                  <c:v>2413.86605722276</c:v>
                </c:pt>
                <c:pt idx="33">
                  <c:v>2410.94658750887</c:v>
                </c:pt>
                <c:pt idx="34">
                  <c:v>2408.01252044642</c:v>
                </c:pt>
                <c:pt idx="35">
                  <c:v>2405.06378304865</c:v>
                </c:pt>
                <c:pt idx="36">
                  <c:v>2402.10030196389</c:v>
                </c:pt>
                <c:pt idx="37">
                  <c:v>2399.12200347371</c:v>
                </c:pt>
                <c:pt idx="38">
                  <c:v>2396.12881349108</c:v>
                </c:pt>
                <c:pt idx="39">
                  <c:v>2393.12065755854</c:v>
                </c:pt>
                <c:pt idx="40">
                  <c:v>2390.09746084633</c:v>
                </c:pt>
                <c:pt idx="41">
                  <c:v>2387.05914815056</c:v>
                </c:pt>
                <c:pt idx="42">
                  <c:v>2384.00564389131</c:v>
                </c:pt>
                <c:pt idx="43">
                  <c:v>2380.93687211077</c:v>
                </c:pt>
                <c:pt idx="44">
                  <c:v>2377.85275647132</c:v>
                </c:pt>
                <c:pt idx="45">
                  <c:v>2374.75322025368</c:v>
                </c:pt>
                <c:pt idx="46">
                  <c:v>2371.63818635495</c:v>
                </c:pt>
                <c:pt idx="47">
                  <c:v>2368.50757728672</c:v>
                </c:pt>
                <c:pt idx="48">
                  <c:v>2365.36131517316</c:v>
                </c:pt>
                <c:pt idx="49">
                  <c:v>2362.19932174902</c:v>
                </c:pt>
                <c:pt idx="50">
                  <c:v>2359.02151835777</c:v>
                </c:pt>
                <c:pt idx="51">
                  <c:v>2355.82782594956</c:v>
                </c:pt>
                <c:pt idx="52">
                  <c:v>2352.6181650793</c:v>
                </c:pt>
                <c:pt idx="53">
                  <c:v>2349.3924559047</c:v>
                </c:pt>
                <c:pt idx="54">
                  <c:v>2346.15061818422</c:v>
                </c:pt>
                <c:pt idx="55">
                  <c:v>2342.89257127515</c:v>
                </c:pt>
                <c:pt idx="56">
                  <c:v>2339.61823413152</c:v>
                </c:pt>
                <c:pt idx="57">
                  <c:v>2336.32752530218</c:v>
                </c:pt>
                <c:pt idx="58">
                  <c:v>2333.02036292869</c:v>
                </c:pt>
                <c:pt idx="59">
                  <c:v>2329.69666474333</c:v>
                </c:pt>
                <c:pt idx="60">
                  <c:v>2326.35634806705</c:v>
                </c:pt>
                <c:pt idx="61">
                  <c:v>2322.99932980739</c:v>
                </c:pt>
                <c:pt idx="62">
                  <c:v>2319.62552645642</c:v>
                </c:pt>
                <c:pt idx="63">
                  <c:v>2316.2348540887</c:v>
                </c:pt>
                <c:pt idx="64">
                  <c:v>2312.82722835915</c:v>
                </c:pt>
                <c:pt idx="65">
                  <c:v>2309.40256450094</c:v>
                </c:pt>
                <c:pt idx="66">
                  <c:v>2305.96077732345</c:v>
                </c:pt>
                <c:pt idx="67">
                  <c:v>2302.50178121007</c:v>
                </c:pt>
                <c:pt idx="68">
                  <c:v>2299.02549011612</c:v>
                </c:pt>
                <c:pt idx="69">
                  <c:v>2295.5318175667</c:v>
                </c:pt>
                <c:pt idx="70">
                  <c:v>2292.02067665453</c:v>
                </c:pt>
                <c:pt idx="71">
                  <c:v>2288.4919800378</c:v>
                </c:pt>
                <c:pt idx="72">
                  <c:v>2284.94563993799</c:v>
                </c:pt>
                <c:pt idx="73">
                  <c:v>2281.38156813768</c:v>
                </c:pt>
                <c:pt idx="74">
                  <c:v>2277.79967597837</c:v>
                </c:pt>
                <c:pt idx="75">
                  <c:v>2274.19987435826</c:v>
                </c:pt>
                <c:pt idx="76">
                  <c:v>2270.58207373005</c:v>
                </c:pt>
                <c:pt idx="77">
                  <c:v>2266.9461840987</c:v>
                </c:pt>
                <c:pt idx="78">
                  <c:v>2263.2921150192</c:v>
                </c:pt>
                <c:pt idx="79">
                  <c:v>2259.61977559429</c:v>
                </c:pt>
                <c:pt idx="80">
                  <c:v>2255.92907447226</c:v>
                </c:pt>
                <c:pt idx="81">
                  <c:v>2252.21991984462</c:v>
                </c:pt>
                <c:pt idx="82">
                  <c:v>2248.49221944385</c:v>
                </c:pt>
                <c:pt idx="83">
                  <c:v>2244.74588054107</c:v>
                </c:pt>
                <c:pt idx="84">
                  <c:v>2240.98080994377</c:v>
                </c:pt>
                <c:pt idx="85">
                  <c:v>2237.19691399349</c:v>
                </c:pt>
                <c:pt idx="86">
                  <c:v>2233.39409856346</c:v>
                </c:pt>
                <c:pt idx="87">
                  <c:v>2229.57226905628</c:v>
                </c:pt>
                <c:pt idx="88">
                  <c:v>2225.73133040156</c:v>
                </c:pt>
                <c:pt idx="89">
                  <c:v>2221.87118705357</c:v>
                </c:pt>
                <c:pt idx="90">
                  <c:v>2217.99174298883</c:v>
                </c:pt>
                <c:pt idx="91">
                  <c:v>2214.09290170378</c:v>
                </c:pt>
                <c:pt idx="92">
                  <c:v>2210.1745662123</c:v>
                </c:pt>
                <c:pt idx="93">
                  <c:v>2206.23663904336</c:v>
                </c:pt>
                <c:pt idx="94">
                  <c:v>2202.27902223857</c:v>
                </c:pt>
                <c:pt idx="95">
                  <c:v>2198.30161734977</c:v>
                </c:pt>
                <c:pt idx="96">
                  <c:v>2194.30432543652</c:v>
                </c:pt>
                <c:pt idx="97">
                  <c:v>2190.2870470637</c:v>
                </c:pt>
                <c:pt idx="98">
                  <c:v>2186.24968229902</c:v>
                </c:pt>
                <c:pt idx="99">
                  <c:v>2182.19213071051</c:v>
                </c:pt>
                <c:pt idx="100">
                  <c:v>2178.11429136406</c:v>
                </c:pt>
                <c:pt idx="101">
                  <c:v>2174.01606282088</c:v>
                </c:pt>
                <c:pt idx="102">
                  <c:v>2169.89734313499</c:v>
                </c:pt>
                <c:pt idx="103">
                  <c:v>2165.75802985066</c:v>
                </c:pt>
                <c:pt idx="104">
                  <c:v>2161.59801999992</c:v>
                </c:pt>
                <c:pt idx="105">
                  <c:v>2157.41721009992</c:v>
                </c:pt>
                <c:pt idx="106">
                  <c:v>2153.21549615042</c:v>
                </c:pt>
                <c:pt idx="107">
                  <c:v>2148.99277363117</c:v>
                </c:pt>
                <c:pt idx="108">
                  <c:v>2144.74893749932</c:v>
                </c:pt>
                <c:pt idx="109">
                  <c:v>2140.48388218682</c:v>
                </c:pt>
                <c:pt idx="110">
                  <c:v>2136.19750159775</c:v>
                </c:pt>
                <c:pt idx="111">
                  <c:v>2131.88968910574</c:v>
                </c:pt>
                <c:pt idx="112">
                  <c:v>2127.56033755127</c:v>
                </c:pt>
                <c:pt idx="113">
                  <c:v>2123.20933923903</c:v>
                </c:pt>
                <c:pt idx="114">
                  <c:v>2118.83658593522</c:v>
                </c:pt>
                <c:pt idx="115">
                  <c:v>2114.4419688649</c:v>
                </c:pt>
                <c:pt idx="116">
                  <c:v>2110.02537870922</c:v>
                </c:pt>
                <c:pt idx="117">
                  <c:v>2105.58670560277</c:v>
                </c:pt>
                <c:pt idx="118">
                  <c:v>2101.12583913078</c:v>
                </c:pt>
                <c:pt idx="119">
                  <c:v>2096.64266832644</c:v>
                </c:pt>
                <c:pt idx="120">
                  <c:v>2092.13708166807</c:v>
                </c:pt>
                <c:pt idx="121">
                  <c:v>2087.60896707641</c:v>
                </c:pt>
                <c:pt idx="122">
                  <c:v>2083.05821191179</c:v>
                </c:pt>
                <c:pt idx="123">
                  <c:v>2078.48470297135</c:v>
                </c:pt>
                <c:pt idx="124">
                  <c:v>2073.88832648621</c:v>
                </c:pt>
                <c:pt idx="125">
                  <c:v>2069.26896811864</c:v>
                </c:pt>
                <c:pt idx="126">
                  <c:v>2064.62651295923</c:v>
                </c:pt>
                <c:pt idx="127">
                  <c:v>2059.96084552403</c:v>
                </c:pt>
                <c:pt idx="128">
                  <c:v>2055.27184975165</c:v>
                </c:pt>
                <c:pt idx="129">
                  <c:v>2050.55940900041</c:v>
                </c:pt>
                <c:pt idx="130">
                  <c:v>2045.82340604541</c:v>
                </c:pt>
                <c:pt idx="131">
                  <c:v>2041.06372307564</c:v>
                </c:pt>
                <c:pt idx="132">
                  <c:v>2036.28024169101</c:v>
                </c:pt>
                <c:pt idx="133">
                  <c:v>2031.47284289947</c:v>
                </c:pt>
                <c:pt idx="134">
                  <c:v>2026.64140711397</c:v>
                </c:pt>
                <c:pt idx="135">
                  <c:v>2021.78581414954</c:v>
                </c:pt>
                <c:pt idx="136">
                  <c:v>2016.90594322028</c:v>
                </c:pt>
                <c:pt idx="137">
                  <c:v>2012.00167293638</c:v>
                </c:pt>
                <c:pt idx="138">
                  <c:v>2007.07288130107</c:v>
                </c:pt>
                <c:pt idx="139">
                  <c:v>2002.11944570757</c:v>
                </c:pt>
                <c:pt idx="140">
                  <c:v>1997.14124293611</c:v>
                </c:pt>
                <c:pt idx="141">
                  <c:v>1992.13814915079</c:v>
                </c:pt>
                <c:pt idx="142">
                  <c:v>1987.11003989654</c:v>
                </c:pt>
                <c:pt idx="143">
                  <c:v>1982.05679009603</c:v>
                </c:pt>
                <c:pt idx="144">
                  <c:v>1976.97827404651</c:v>
                </c:pt>
                <c:pt idx="145">
                  <c:v>1971.87436541674</c:v>
                </c:pt>
                <c:pt idx="146">
                  <c:v>1966.74493724382</c:v>
                </c:pt>
                <c:pt idx="147">
                  <c:v>1961.58986193004</c:v>
                </c:pt>
                <c:pt idx="148">
                  <c:v>1956.40901123969</c:v>
                </c:pt>
                <c:pt idx="149">
                  <c:v>1951.20225629589</c:v>
                </c:pt>
                <c:pt idx="150">
                  <c:v>1945.96946757737</c:v>
                </c:pt>
                <c:pt idx="151">
                  <c:v>1940.71051491526</c:v>
                </c:pt>
                <c:pt idx="152">
                  <c:v>1935.42526748983</c:v>
                </c:pt>
                <c:pt idx="153">
                  <c:v>1930.11359382728</c:v>
                </c:pt>
                <c:pt idx="154">
                  <c:v>1924.77536179642</c:v>
                </c:pt>
                <c:pt idx="155">
                  <c:v>1919.4104386054</c:v>
                </c:pt>
                <c:pt idx="156">
                  <c:v>1914.01869079843</c:v>
                </c:pt>
                <c:pt idx="157">
                  <c:v>1908.59998425242</c:v>
                </c:pt>
                <c:pt idx="158">
                  <c:v>1903.15418417368</c:v>
                </c:pt>
                <c:pt idx="159">
                  <c:v>1897.68115509455</c:v>
                </c:pt>
                <c:pt idx="160">
                  <c:v>1892.18076087002</c:v>
                </c:pt>
                <c:pt idx="161">
                  <c:v>1886.65286467437</c:v>
                </c:pt>
                <c:pt idx="162">
                  <c:v>1881.09732899775</c:v>
                </c:pt>
                <c:pt idx="163">
                  <c:v>1875.51401564273</c:v>
                </c:pt>
                <c:pt idx="164">
                  <c:v>1869.90278572095</c:v>
                </c:pt>
                <c:pt idx="165">
                  <c:v>1864.26349964955</c:v>
                </c:pt>
                <c:pt idx="166">
                  <c:v>1858.5960171478</c:v>
                </c:pt>
                <c:pt idx="167">
                  <c:v>1852.90019723354</c:v>
                </c:pt>
                <c:pt idx="168">
                  <c:v>1847.17589821971</c:v>
                </c:pt>
                <c:pt idx="169">
                  <c:v>1841.4229777108</c:v>
                </c:pt>
                <c:pt idx="170">
                  <c:v>1835.64129259936</c:v>
                </c:pt>
                <c:pt idx="171">
                  <c:v>1829.83069906236</c:v>
                </c:pt>
                <c:pt idx="172">
                  <c:v>1823.99105255767</c:v>
                </c:pt>
                <c:pt idx="173">
                  <c:v>1818.12220782046</c:v>
                </c:pt>
                <c:pt idx="174">
                  <c:v>1812.22401885956</c:v>
                </c:pt>
                <c:pt idx="175">
                  <c:v>1806.29633895386</c:v>
                </c:pt>
                <c:pt idx="176">
                  <c:v>1800.33902064863</c:v>
                </c:pt>
                <c:pt idx="177">
                  <c:v>1794.35191575187</c:v>
                </c:pt>
                <c:pt idx="178">
                  <c:v>1788.33487533063</c:v>
                </c:pt>
                <c:pt idx="179">
                  <c:v>1782.28774970728</c:v>
                </c:pt>
                <c:pt idx="180">
                  <c:v>1776.21038845582</c:v>
                </c:pt>
                <c:pt idx="181">
                  <c:v>1770.1026403981</c:v>
                </c:pt>
                <c:pt idx="182">
                  <c:v>1763.96435360009</c:v>
                </c:pt>
                <c:pt idx="183">
                  <c:v>1757.79537536809</c:v>
                </c:pt>
                <c:pt idx="184">
                  <c:v>1751.59555224493</c:v>
                </c:pt>
                <c:pt idx="185">
                  <c:v>1745.36473000615</c:v>
                </c:pt>
                <c:pt idx="186">
                  <c:v>1739.10275365618</c:v>
                </c:pt>
                <c:pt idx="187">
                  <c:v>1732.80946742446</c:v>
                </c:pt>
                <c:pt idx="188">
                  <c:v>1726.48471476159</c:v>
                </c:pt>
                <c:pt idx="189">
                  <c:v>1720.12833833539</c:v>
                </c:pt>
                <c:pt idx="190">
                  <c:v>1713.74018002707</c:v>
                </c:pt>
                <c:pt idx="191">
                  <c:v>1707.32008092721</c:v>
                </c:pt>
                <c:pt idx="192">
                  <c:v>1700.86788133184</c:v>
                </c:pt>
                <c:pt idx="193">
                  <c:v>1694.3834207385</c:v>
                </c:pt>
                <c:pt idx="194">
                  <c:v>1687.86653784219</c:v>
                </c:pt>
                <c:pt idx="195">
                  <c:v>1681.3170705314</c:v>
                </c:pt>
                <c:pt idx="196">
                  <c:v>1674.73485588406</c:v>
                </c:pt>
                <c:pt idx="197">
                  <c:v>1668.11973016348</c:v>
                </c:pt>
                <c:pt idx="198">
                  <c:v>1661.4715288143</c:v>
                </c:pt>
                <c:pt idx="199">
                  <c:v>1654.79008645837</c:v>
                </c:pt>
                <c:pt idx="200">
                  <c:v>1648.07523689066</c:v>
                </c:pt>
                <c:pt idx="201">
                  <c:v>1641.32681307512</c:v>
                </c:pt>
                <c:pt idx="202">
                  <c:v>1634.54464714049</c:v>
                </c:pt>
                <c:pt idx="203">
                  <c:v>1627.72857037619</c:v>
                </c:pt>
                <c:pt idx="204">
                  <c:v>1620.87841322807</c:v>
                </c:pt>
                <c:pt idx="205">
                  <c:v>1613.99400529421</c:v>
                </c:pt>
                <c:pt idx="206">
                  <c:v>1607.07517532069</c:v>
                </c:pt>
                <c:pt idx="207">
                  <c:v>1600.12175119729</c:v>
                </c:pt>
                <c:pt idx="208">
                  <c:v>1593.13355995328</c:v>
                </c:pt>
                <c:pt idx="209">
                  <c:v>1586.11042775304</c:v>
                </c:pt>
                <c:pt idx="210">
                  <c:v>1579.05217989181</c:v>
                </c:pt>
                <c:pt idx="211">
                  <c:v>1571.95864079127</c:v>
                </c:pt>
                <c:pt idx="212">
                  <c:v>1564.82963399522</c:v>
                </c:pt>
                <c:pt idx="213">
                  <c:v>1557.6649821652</c:v>
                </c:pt>
                <c:pt idx="214">
                  <c:v>1550.46450707602</c:v>
                </c:pt>
                <c:pt idx="215">
                  <c:v>1543.2280296114</c:v>
                </c:pt>
                <c:pt idx="216">
                  <c:v>1535.95536975946</c:v>
                </c:pt>
                <c:pt idx="217">
                  <c:v>1528.64634660826</c:v>
                </c:pt>
                <c:pt idx="218">
                  <c:v>1521.3007783413</c:v>
                </c:pt>
                <c:pt idx="219">
                  <c:v>1513.91848223301</c:v>
                </c:pt>
                <c:pt idx="220">
                  <c:v>1506.49927464417</c:v>
                </c:pt>
                <c:pt idx="221">
                  <c:v>1499.04297101739</c:v>
                </c:pt>
                <c:pt idx="222">
                  <c:v>1491.54938587248</c:v>
                </c:pt>
                <c:pt idx="223">
                  <c:v>1484.01833280184</c:v>
                </c:pt>
                <c:pt idx="224">
                  <c:v>1476.44962446585</c:v>
                </c:pt>
                <c:pt idx="225">
                  <c:v>1468.84307258818</c:v>
                </c:pt>
                <c:pt idx="226">
                  <c:v>1461.19848795112</c:v>
                </c:pt>
                <c:pt idx="227">
                  <c:v>1453.51568039088</c:v>
                </c:pt>
                <c:pt idx="228">
                  <c:v>1445.79445879283</c:v>
                </c:pt>
                <c:pt idx="229">
                  <c:v>1438.03463108679</c:v>
                </c:pt>
                <c:pt idx="230">
                  <c:v>1430.23600424223</c:v>
                </c:pt>
                <c:pt idx="231">
                  <c:v>1422.39838426344</c:v>
                </c:pt>
                <c:pt idx="232">
                  <c:v>1414.52157618476</c:v>
                </c:pt>
                <c:pt idx="233">
                  <c:v>1406.60538406568</c:v>
                </c:pt>
                <c:pt idx="234">
                  <c:v>1398.64961098601</c:v>
                </c:pt>
                <c:pt idx="235">
                  <c:v>1390.65405904094</c:v>
                </c:pt>
                <c:pt idx="236">
                  <c:v>1382.61852933614</c:v>
                </c:pt>
                <c:pt idx="237">
                  <c:v>1374.54282198282</c:v>
                </c:pt>
                <c:pt idx="238">
                  <c:v>1366.42673609274</c:v>
                </c:pt>
                <c:pt idx="239">
                  <c:v>1358.2700697732</c:v>
                </c:pt>
                <c:pt idx="240">
                  <c:v>1350.07262012207</c:v>
                </c:pt>
                <c:pt idx="241">
                  <c:v>1341.83418322268</c:v>
                </c:pt>
                <c:pt idx="242">
                  <c:v>1333.55455413879</c:v>
                </c:pt>
                <c:pt idx="243">
                  <c:v>1325.23352690948</c:v>
                </c:pt>
                <c:pt idx="244">
                  <c:v>1316.87089454403</c:v>
                </c:pt>
                <c:pt idx="245">
                  <c:v>1308.46644901675</c:v>
                </c:pt>
                <c:pt idx="246">
                  <c:v>1300.01998126184</c:v>
                </c:pt>
                <c:pt idx="247">
                  <c:v>1291.53128116815</c:v>
                </c:pt>
                <c:pt idx="248">
                  <c:v>1283.00013757399</c:v>
                </c:pt>
                <c:pt idx="249">
                  <c:v>1274.42633826186</c:v>
                </c:pt>
                <c:pt idx="250">
                  <c:v>1265.80966995316</c:v>
                </c:pt>
                <c:pt idx="251">
                  <c:v>1257.14991830293</c:v>
                </c:pt>
                <c:pt idx="252">
                  <c:v>1248.44686789445</c:v>
                </c:pt>
                <c:pt idx="253">
                  <c:v>1239.70030223392</c:v>
                </c:pt>
                <c:pt idx="254">
                  <c:v>1230.91000374509</c:v>
                </c:pt>
                <c:pt idx="255">
                  <c:v>1222.07575376381</c:v>
                </c:pt>
                <c:pt idx="256">
                  <c:v>1213.19733253263</c:v>
                </c:pt>
                <c:pt idx="257">
                  <c:v>1204.27451919529</c:v>
                </c:pt>
                <c:pt idx="258">
                  <c:v>1195.30709179127</c:v>
                </c:pt>
                <c:pt idx="259">
                  <c:v>1186.29482725023</c:v>
                </c:pt>
                <c:pt idx="260">
                  <c:v>1177.23750138648</c:v>
                </c:pt>
                <c:pt idx="261">
                  <c:v>1168.13488889341</c:v>
                </c:pt>
                <c:pt idx="262">
                  <c:v>1158.98676333788</c:v>
                </c:pt>
                <c:pt idx="263">
                  <c:v>1149.79289715457</c:v>
                </c:pt>
                <c:pt idx="264">
                  <c:v>1140.55306164034</c:v>
                </c:pt>
                <c:pt idx="265">
                  <c:v>1131.26702694854</c:v>
                </c:pt>
                <c:pt idx="266">
                  <c:v>1121.93456208328</c:v>
                </c:pt>
                <c:pt idx="267">
                  <c:v>1112.5554348937</c:v>
                </c:pt>
                <c:pt idx="268">
                  <c:v>1103.12941206817</c:v>
                </c:pt>
                <c:pt idx="269">
                  <c:v>1093.65625912851</c:v>
                </c:pt>
                <c:pt idx="270">
                  <c:v>1084.13574042415</c:v>
                </c:pt>
                <c:pt idx="271">
                  <c:v>1074.56761912627</c:v>
                </c:pt>
                <c:pt idx="272">
                  <c:v>1064.9516572219</c:v>
                </c:pt>
                <c:pt idx="273">
                  <c:v>1055.28761550801</c:v>
                </c:pt>
                <c:pt idx="274">
                  <c:v>1045.57525358555</c:v>
                </c:pt>
                <c:pt idx="275">
                  <c:v>1035.81432985348</c:v>
                </c:pt>
                <c:pt idx="276">
                  <c:v>1026.00460150275</c:v>
                </c:pt>
                <c:pt idx="277">
                  <c:v>1016.14582451026</c:v>
                </c:pt>
                <c:pt idx="278">
                  <c:v>1006.23775363281</c:v>
                </c:pt>
                <c:pt idx="279">
                  <c:v>996.280142400978</c:v>
                </c:pt>
                <c:pt idx="280">
                  <c:v>986.272743112982</c:v>
                </c:pt>
                <c:pt idx="281">
                  <c:v>976.215306828547</c:v>
                </c:pt>
                <c:pt idx="282">
                  <c:v>966.10758336269</c:v>
                </c:pt>
                <c:pt idx="283">
                  <c:v>955.949321279504</c:v>
                </c:pt>
                <c:pt idx="284">
                  <c:v>945.740267885901</c:v>
                </c:pt>
                <c:pt idx="285">
                  <c:v>935.48016922533</c:v>
                </c:pt>
                <c:pt idx="286">
                  <c:v>925.168770071457</c:v>
                </c:pt>
                <c:pt idx="287">
                  <c:v>914.805813921814</c:v>
                </c:pt>
                <c:pt idx="288">
                  <c:v>904.391042991423</c:v>
                </c:pt>
                <c:pt idx="289">
                  <c:v>893.924198206381</c:v>
                </c:pt>
                <c:pt idx="290">
                  <c:v>883.405019197412</c:v>
                </c:pt>
                <c:pt idx="291">
                  <c:v>872.833244293399</c:v>
                </c:pt>
                <c:pt idx="292">
                  <c:v>862.208610514866</c:v>
                </c:pt>
                <c:pt idx="293">
                  <c:v>851.530853567441</c:v>
                </c:pt>
                <c:pt idx="294">
                  <c:v>840.799707835278</c:v>
                </c:pt>
                <c:pt idx="295">
                  <c:v>830.014906374454</c:v>
                </c:pt>
                <c:pt idx="296">
                  <c:v>819.176180906326</c:v>
                </c:pt>
                <c:pt idx="297">
                  <c:v>808.283261810858</c:v>
                </c:pt>
                <c:pt idx="298">
                  <c:v>797.335878119912</c:v>
                </c:pt>
                <c:pt idx="299">
                  <c:v>786.333757510512</c:v>
                </c:pt>
                <c:pt idx="300">
                  <c:v>775.276626298064</c:v>
                </c:pt>
                <c:pt idx="301">
                  <c:v>764.164209429555</c:v>
                </c:pt>
                <c:pt idx="302">
                  <c:v>752.996230476702</c:v>
                </c:pt>
                <c:pt idx="303">
                  <c:v>741.772411629086</c:v>
                </c:pt>
                <c:pt idx="304">
                  <c:v>730.492473687231</c:v>
                </c:pt>
                <c:pt idx="305">
                  <c:v>719.156136055667</c:v>
                </c:pt>
                <c:pt idx="306">
                  <c:v>707.763116735946</c:v>
                </c:pt>
                <c:pt idx="307">
                  <c:v>696.313132319625</c:v>
                </c:pt>
                <c:pt idx="308">
                  <c:v>684.805897981223</c:v>
                </c:pt>
                <c:pt idx="309">
                  <c:v>673.241127471129</c:v>
                </c:pt>
                <c:pt idx="310">
                  <c:v>661.618533108485</c:v>
                </c:pt>
                <c:pt idx="311">
                  <c:v>649.937825774027</c:v>
                </c:pt>
                <c:pt idx="312">
                  <c:v>638.198714902898</c:v>
                </c:pt>
                <c:pt idx="313">
                  <c:v>626.400908477412</c:v>
                </c:pt>
                <c:pt idx="314">
                  <c:v>614.544113019799</c:v>
                </c:pt>
                <c:pt idx="315">
                  <c:v>602.628033584898</c:v>
                </c:pt>
                <c:pt idx="316">
                  <c:v>590.652373752823</c:v>
                </c:pt>
                <c:pt idx="317">
                  <c:v>578.616835621587</c:v>
                </c:pt>
                <c:pt idx="318">
                  <c:v>566.521119799695</c:v>
                </c:pt>
                <c:pt idx="319">
                  <c:v>554.364925398693</c:v>
                </c:pt>
                <c:pt idx="320">
                  <c:v>542.147950025687</c:v>
                </c:pt>
                <c:pt idx="321">
                  <c:v>529.869889775815</c:v>
                </c:pt>
                <c:pt idx="322">
                  <c:v>517.530439224694</c:v>
                </c:pt>
                <c:pt idx="323">
                  <c:v>505.129291420818</c:v>
                </c:pt>
                <c:pt idx="324">
                  <c:v>492.666137877922</c:v>
                </c:pt>
                <c:pt idx="325">
                  <c:v>480.140668567312</c:v>
                </c:pt>
                <c:pt idx="326">
                  <c:v>467.552571910148</c:v>
                </c:pt>
                <c:pt idx="327">
                  <c:v>454.901534769699</c:v>
                </c:pt>
                <c:pt idx="328">
                  <c:v>442.187242443548</c:v>
                </c:pt>
                <c:pt idx="329">
                  <c:v>429.409378655765</c:v>
                </c:pt>
                <c:pt idx="330">
                  <c:v>416.567625549044</c:v>
                </c:pt>
                <c:pt idx="331">
                  <c:v>403.661663676789</c:v>
                </c:pt>
                <c:pt idx="332">
                  <c:v>390.691171995173</c:v>
                </c:pt>
                <c:pt idx="333">
                  <c:v>377.655827855149</c:v>
                </c:pt>
                <c:pt idx="334">
                  <c:v>364.555306994425</c:v>
                </c:pt>
                <c:pt idx="335">
                  <c:v>351.389283529397</c:v>
                </c:pt>
                <c:pt idx="336">
                  <c:v>338.157429947044</c:v>
                </c:pt>
                <c:pt idx="337">
                  <c:v>324.859417096779</c:v>
                </c:pt>
                <c:pt idx="338">
                  <c:v>311.494914182263</c:v>
                </c:pt>
                <c:pt idx="339">
                  <c:v>298.063588753175</c:v>
                </c:pt>
                <c:pt idx="340">
                  <c:v>284.56510669694</c:v>
                </c:pt>
                <c:pt idx="341">
                  <c:v>270.999132230425</c:v>
                </c:pt>
                <c:pt idx="342">
                  <c:v>257.365327891577</c:v>
                </c:pt>
                <c:pt idx="343">
                  <c:v>243.663354531035</c:v>
                </c:pt>
                <c:pt idx="344">
                  <c:v>229.89287130369</c:v>
                </c:pt>
                <c:pt idx="345">
                  <c:v>216.053535660209</c:v>
                </c:pt>
                <c:pt idx="346">
                  <c:v>202.14500333851</c:v>
                </c:pt>
                <c:pt idx="347">
                  <c:v>188.166928355202</c:v>
                </c:pt>
                <c:pt idx="348">
                  <c:v>174.118962996978</c:v>
                </c:pt>
                <c:pt idx="349">
                  <c:v>160.000757811963</c:v>
                </c:pt>
                <c:pt idx="350">
                  <c:v>145.811961601023</c:v>
                </c:pt>
                <c:pt idx="351">
                  <c:v>131.552221409028</c:v>
                </c:pt>
                <c:pt idx="352">
                  <c:v>117.221182516073</c:v>
                </c:pt>
                <c:pt idx="353">
                  <c:v>102.818488428654</c:v>
                </c:pt>
                <c:pt idx="354">
                  <c:v>88.3437808707969</c:v>
                </c:pt>
                <c:pt idx="355">
                  <c:v>73.7966997751509</c:v>
                </c:pt>
                <c:pt idx="356">
                  <c:v>59.1768832740266</c:v>
                </c:pt>
                <c:pt idx="357">
                  <c:v>44.4839676903967</c:v>
                </c:pt>
                <c:pt idx="358">
                  <c:v>29.7175875288487</c:v>
                </c:pt>
                <c:pt idx="359">
                  <c:v>14.877375466493</c:v>
                </c:pt>
              </c:numCache>
            </c:numRef>
          </c:val>
          <c:smooth val="0"/>
        </c:ser>
        <c:ser>
          <c:idx val="1"/>
          <c:order val="1"/>
          <c:tx>
            <c:strRef>
              <c:f>'5 Home loan'!E24</c:f>
              <c:strCache>
                <c:ptCount val="1"/>
                <c:pt idx="0">
                  <c:v>Principal paid off ($)</c:v>
                </c:pt>
              </c:strCache>
            </c:strRef>
          </c:tx>
          <c:spPr>
            <a:solidFill>
              <a:srgbClr val="be4b48"/>
            </a:solidFill>
            <a:ln w="2412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'5 Home loan'!$A$25:$A$384</c:f>
              <c:strCache>
                <c:ptCount val="3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strCache>
            </c:strRef>
          </c:cat>
          <c:val>
            <c:numRef>
              <c:f>'5 Home loan'!$E$25:$E$384</c:f>
              <c:numCache>
                <c:formatCode>\$#,##0.00;[RED]"-$"#,##0.00;\-</c:formatCode>
                <c:ptCount val="360"/>
                <c:pt idx="0">
                  <c:v>497.76</c:v>
                </c:pt>
                <c:pt idx="1">
                  <c:v>500.2488</c:v>
                </c:pt>
                <c:pt idx="2">
                  <c:v>502.750044</c:v>
                </c:pt>
                <c:pt idx="3">
                  <c:v>505.26379422</c:v>
                </c:pt>
                <c:pt idx="4">
                  <c:v>507.7901131911</c:v>
                </c:pt>
                <c:pt idx="5">
                  <c:v>510.329063757056</c:v>
                </c:pt>
                <c:pt idx="6">
                  <c:v>512.880709075841</c:v>
                </c:pt>
                <c:pt idx="7">
                  <c:v>515.44511262122</c:v>
                </c:pt>
                <c:pt idx="8">
                  <c:v>518.022338184327</c:v>
                </c:pt>
                <c:pt idx="9">
                  <c:v>520.612449875248</c:v>
                </c:pt>
                <c:pt idx="10">
                  <c:v>523.215512124625</c:v>
                </c:pt>
                <c:pt idx="11">
                  <c:v>525.831589685248</c:v>
                </c:pt>
                <c:pt idx="12">
                  <c:v>528.460747633674</c:v>
                </c:pt>
                <c:pt idx="13">
                  <c:v>531.103051371842</c:v>
                </c:pt>
                <c:pt idx="14">
                  <c:v>533.758566628702</c:v>
                </c:pt>
                <c:pt idx="15">
                  <c:v>536.427359461846</c:v>
                </c:pt>
                <c:pt idx="16">
                  <c:v>539.109496259155</c:v>
                </c:pt>
                <c:pt idx="17">
                  <c:v>541.805043740451</c:v>
                </c:pt>
                <c:pt idx="18">
                  <c:v>544.514068959153</c:v>
                </c:pt>
                <c:pt idx="19">
                  <c:v>547.236639303949</c:v>
                </c:pt>
                <c:pt idx="20">
                  <c:v>549.972822500469</c:v>
                </c:pt>
                <c:pt idx="21">
                  <c:v>552.722686612971</c:v>
                </c:pt>
                <c:pt idx="22">
                  <c:v>555.486300046036</c:v>
                </c:pt>
                <c:pt idx="23">
                  <c:v>558.263731546266</c:v>
                </c:pt>
                <c:pt idx="24">
                  <c:v>561.055050203997</c:v>
                </c:pt>
                <c:pt idx="25">
                  <c:v>563.860325455017</c:v>
                </c:pt>
                <c:pt idx="26">
                  <c:v>566.679627082292</c:v>
                </c:pt>
                <c:pt idx="27">
                  <c:v>569.513025217704</c:v>
                </c:pt>
                <c:pt idx="28">
                  <c:v>572.360590343792</c:v>
                </c:pt>
                <c:pt idx="29">
                  <c:v>575.222393295512</c:v>
                </c:pt>
                <c:pt idx="30">
                  <c:v>578.098505261989</c:v>
                </c:pt>
                <c:pt idx="31">
                  <c:v>580.988997788299</c:v>
                </c:pt>
                <c:pt idx="32">
                  <c:v>583.893942777241</c:v>
                </c:pt>
                <c:pt idx="33">
                  <c:v>586.813412491127</c:v>
                </c:pt>
                <c:pt idx="34">
                  <c:v>589.747479553582</c:v>
                </c:pt>
                <c:pt idx="35">
                  <c:v>592.69621695135</c:v>
                </c:pt>
                <c:pt idx="36">
                  <c:v>595.659698036107</c:v>
                </c:pt>
                <c:pt idx="37">
                  <c:v>598.637996526287</c:v>
                </c:pt>
                <c:pt idx="38">
                  <c:v>601.631186508919</c:v>
                </c:pt>
                <c:pt idx="39">
                  <c:v>604.639342441464</c:v>
                </c:pt>
                <c:pt idx="40">
                  <c:v>607.662539153671</c:v>
                </c:pt>
                <c:pt idx="41">
                  <c:v>610.70085184944</c:v>
                </c:pt>
                <c:pt idx="42">
                  <c:v>613.754356108687</c:v>
                </c:pt>
                <c:pt idx="43">
                  <c:v>616.82312788923</c:v>
                </c:pt>
                <c:pt idx="44">
                  <c:v>619.907243528677</c:v>
                </c:pt>
                <c:pt idx="45">
                  <c:v>623.00677974632</c:v>
                </c:pt>
                <c:pt idx="46">
                  <c:v>626.121813645052</c:v>
                </c:pt>
                <c:pt idx="47">
                  <c:v>629.252422713277</c:v>
                </c:pt>
                <c:pt idx="48">
                  <c:v>632.398684826843</c:v>
                </c:pt>
                <c:pt idx="49">
                  <c:v>635.560678250978</c:v>
                </c:pt>
                <c:pt idx="50">
                  <c:v>638.738481642232</c:v>
                </c:pt>
                <c:pt idx="51">
                  <c:v>641.932174050443</c:v>
                </c:pt>
                <c:pt idx="52">
                  <c:v>645.141834920696</c:v>
                </c:pt>
                <c:pt idx="53">
                  <c:v>648.367544095299</c:v>
                </c:pt>
                <c:pt idx="54">
                  <c:v>651.609381815776</c:v>
                </c:pt>
                <c:pt idx="55">
                  <c:v>654.867428724855</c:v>
                </c:pt>
                <c:pt idx="56">
                  <c:v>658.141765868479</c:v>
                </c:pt>
                <c:pt idx="57">
                  <c:v>661.432474697821</c:v>
                </c:pt>
                <c:pt idx="58">
                  <c:v>664.73963707131</c:v>
                </c:pt>
                <c:pt idx="59">
                  <c:v>668.063335256667</c:v>
                </c:pt>
                <c:pt idx="60">
                  <c:v>671.40365193295</c:v>
                </c:pt>
                <c:pt idx="61">
                  <c:v>674.760670192615</c:v>
                </c:pt>
                <c:pt idx="62">
                  <c:v>678.134473543578</c:v>
                </c:pt>
                <c:pt idx="63">
                  <c:v>681.525145911296</c:v>
                </c:pt>
                <c:pt idx="64">
                  <c:v>684.932771640853</c:v>
                </c:pt>
                <c:pt idx="65">
                  <c:v>688.357435499057</c:v>
                </c:pt>
                <c:pt idx="66">
                  <c:v>691.799222676552</c:v>
                </c:pt>
                <c:pt idx="67">
                  <c:v>695.258218789935</c:v>
                </c:pt>
                <c:pt idx="68">
                  <c:v>698.734509883885</c:v>
                </c:pt>
                <c:pt idx="69">
                  <c:v>702.228182433305</c:v>
                </c:pt>
                <c:pt idx="70">
                  <c:v>705.739323345471</c:v>
                </c:pt>
                <c:pt idx="71">
                  <c:v>709.268019962198</c:v>
                </c:pt>
                <c:pt idx="72">
                  <c:v>712.814360062009</c:v>
                </c:pt>
                <c:pt idx="73">
                  <c:v>716.378431862319</c:v>
                </c:pt>
                <c:pt idx="74">
                  <c:v>719.960324021631</c:v>
                </c:pt>
                <c:pt idx="75">
                  <c:v>723.560125641739</c:v>
                </c:pt>
                <c:pt idx="76">
                  <c:v>727.177926269948</c:v>
                </c:pt>
                <c:pt idx="77">
                  <c:v>730.813815901298</c:v>
                </c:pt>
                <c:pt idx="78">
                  <c:v>734.467884980804</c:v>
                </c:pt>
                <c:pt idx="79">
                  <c:v>738.140224405709</c:v>
                </c:pt>
                <c:pt idx="80">
                  <c:v>741.830925527737</c:v>
                </c:pt>
                <c:pt idx="81">
                  <c:v>745.540080155376</c:v>
                </c:pt>
                <c:pt idx="82">
                  <c:v>749.267780556153</c:v>
                </c:pt>
                <c:pt idx="83">
                  <c:v>753.014119458933</c:v>
                </c:pt>
                <c:pt idx="84">
                  <c:v>756.779190056228</c:v>
                </c:pt>
                <c:pt idx="85">
                  <c:v>760.563086006509</c:v>
                </c:pt>
                <c:pt idx="86">
                  <c:v>764.365901436542</c:v>
                </c:pt>
                <c:pt idx="87">
                  <c:v>768.187730943725</c:v>
                </c:pt>
                <c:pt idx="88">
                  <c:v>772.028669598443</c:v>
                </c:pt>
                <c:pt idx="89">
                  <c:v>775.888812946435</c:v>
                </c:pt>
                <c:pt idx="90">
                  <c:v>779.768257011168</c:v>
                </c:pt>
                <c:pt idx="91">
                  <c:v>783.667098296224</c:v>
                </c:pt>
                <c:pt idx="92">
                  <c:v>787.585433787705</c:v>
                </c:pt>
                <c:pt idx="93">
                  <c:v>791.523360956644</c:v>
                </c:pt>
                <c:pt idx="94">
                  <c:v>795.480977761427</c:v>
                </c:pt>
                <c:pt idx="95">
                  <c:v>799.458382650234</c:v>
                </c:pt>
                <c:pt idx="96">
                  <c:v>803.455674563485</c:v>
                </c:pt>
                <c:pt idx="97">
                  <c:v>807.472952936302</c:v>
                </c:pt>
                <c:pt idx="98">
                  <c:v>811.510317700984</c:v>
                </c:pt>
                <c:pt idx="99">
                  <c:v>815.567869289489</c:v>
                </c:pt>
                <c:pt idx="100">
                  <c:v>819.645708635936</c:v>
                </c:pt>
                <c:pt idx="101">
                  <c:v>823.743937179116</c:v>
                </c:pt>
                <c:pt idx="102">
                  <c:v>827.862656865012</c:v>
                </c:pt>
                <c:pt idx="103">
                  <c:v>832.001970149337</c:v>
                </c:pt>
                <c:pt idx="104">
                  <c:v>836.161980000084</c:v>
                </c:pt>
                <c:pt idx="105">
                  <c:v>840.342789900084</c:v>
                </c:pt>
                <c:pt idx="106">
                  <c:v>844.544503849585</c:v>
                </c:pt>
                <c:pt idx="107">
                  <c:v>848.767226368832</c:v>
                </c:pt>
                <c:pt idx="108">
                  <c:v>853.011062500676</c:v>
                </c:pt>
                <c:pt idx="109">
                  <c:v>857.27611781318</c:v>
                </c:pt>
                <c:pt idx="110">
                  <c:v>861.562498402246</c:v>
                </c:pt>
                <c:pt idx="111">
                  <c:v>865.870310894257</c:v>
                </c:pt>
                <c:pt idx="112">
                  <c:v>870.199662448728</c:v>
                </c:pt>
                <c:pt idx="113">
                  <c:v>874.550660760972</c:v>
                </c:pt>
                <c:pt idx="114">
                  <c:v>878.923414064777</c:v>
                </c:pt>
                <c:pt idx="115">
                  <c:v>883.318031135101</c:v>
                </c:pt>
                <c:pt idx="116">
                  <c:v>887.734621290776</c:v>
                </c:pt>
                <c:pt idx="117">
                  <c:v>892.17329439723</c:v>
                </c:pt>
                <c:pt idx="118">
                  <c:v>896.634160869216</c:v>
                </c:pt>
                <c:pt idx="119">
                  <c:v>901.117331673563</c:v>
                </c:pt>
                <c:pt idx="120">
                  <c:v>905.622918331931</c:v>
                </c:pt>
                <c:pt idx="121">
                  <c:v>910.15103292359</c:v>
                </c:pt>
                <c:pt idx="122">
                  <c:v>914.701788088208</c:v>
                </c:pt>
                <c:pt idx="123">
                  <c:v>919.275297028649</c:v>
                </c:pt>
                <c:pt idx="124">
                  <c:v>923.871673513792</c:v>
                </c:pt>
                <c:pt idx="125">
                  <c:v>928.491031881361</c:v>
                </c:pt>
                <c:pt idx="126">
                  <c:v>933.133487040768</c:v>
                </c:pt>
                <c:pt idx="127">
                  <c:v>937.799154475972</c:v>
                </c:pt>
                <c:pt idx="128">
                  <c:v>942.488150248352</c:v>
                </c:pt>
                <c:pt idx="129">
                  <c:v>947.200590999594</c:v>
                </c:pt>
                <c:pt idx="130">
                  <c:v>951.936593954592</c:v>
                </c:pt>
                <c:pt idx="131">
                  <c:v>956.696276924365</c:v>
                </c:pt>
                <c:pt idx="132">
                  <c:v>961.479758308987</c:v>
                </c:pt>
                <c:pt idx="133">
                  <c:v>966.287157100532</c:v>
                </c:pt>
                <c:pt idx="134">
                  <c:v>971.118592886035</c:v>
                </c:pt>
                <c:pt idx="135">
                  <c:v>975.974185850465</c:v>
                </c:pt>
                <c:pt idx="136">
                  <c:v>980.854056779717</c:v>
                </c:pt>
                <c:pt idx="137">
                  <c:v>985.758327063616</c:v>
                </c:pt>
                <c:pt idx="138">
                  <c:v>990.687118698934</c:v>
                </c:pt>
                <c:pt idx="139">
                  <c:v>995.640554292429</c:v>
                </c:pt>
                <c:pt idx="140">
                  <c:v>1000.61875706389</c:v>
                </c:pt>
                <c:pt idx="141">
                  <c:v>1005.62185084921</c:v>
                </c:pt>
                <c:pt idx="142">
                  <c:v>1010.64996010346</c:v>
                </c:pt>
                <c:pt idx="143">
                  <c:v>1015.70320990397</c:v>
                </c:pt>
                <c:pt idx="144">
                  <c:v>1020.78172595349</c:v>
                </c:pt>
                <c:pt idx="145">
                  <c:v>1025.88563458326</c:v>
                </c:pt>
                <c:pt idx="146">
                  <c:v>1031.01506275618</c:v>
                </c:pt>
                <c:pt idx="147">
                  <c:v>1036.17013806996</c:v>
                </c:pt>
                <c:pt idx="148">
                  <c:v>1041.35098876031</c:v>
                </c:pt>
                <c:pt idx="149">
                  <c:v>1046.55774370411</c:v>
                </c:pt>
                <c:pt idx="150">
                  <c:v>1051.79053242263</c:v>
                </c:pt>
                <c:pt idx="151">
                  <c:v>1057.04948508474</c:v>
                </c:pt>
                <c:pt idx="152">
                  <c:v>1062.33473251017</c:v>
                </c:pt>
                <c:pt idx="153">
                  <c:v>1067.64640617272</c:v>
                </c:pt>
                <c:pt idx="154">
                  <c:v>1072.98463820358</c:v>
                </c:pt>
                <c:pt idx="155">
                  <c:v>1078.3495613946</c:v>
                </c:pt>
                <c:pt idx="156">
                  <c:v>1083.74130920157</c:v>
                </c:pt>
                <c:pt idx="157">
                  <c:v>1089.16001574758</c:v>
                </c:pt>
                <c:pt idx="158">
                  <c:v>1094.60581582632</c:v>
                </c:pt>
                <c:pt idx="159">
                  <c:v>1100.07884490545</c:v>
                </c:pt>
                <c:pt idx="160">
                  <c:v>1105.57923912998</c:v>
                </c:pt>
                <c:pt idx="161">
                  <c:v>1111.10713532563</c:v>
                </c:pt>
                <c:pt idx="162">
                  <c:v>1116.66267100226</c:v>
                </c:pt>
                <c:pt idx="163">
                  <c:v>1122.24598435727</c:v>
                </c:pt>
                <c:pt idx="164">
                  <c:v>1127.85721427905</c:v>
                </c:pt>
                <c:pt idx="165">
                  <c:v>1133.49650035045</c:v>
                </c:pt>
                <c:pt idx="166">
                  <c:v>1139.1639828522</c:v>
                </c:pt>
                <c:pt idx="167">
                  <c:v>1144.85980276646</c:v>
                </c:pt>
                <c:pt idx="168">
                  <c:v>1150.58410178029</c:v>
                </c:pt>
                <c:pt idx="169">
                  <c:v>1156.3370222892</c:v>
                </c:pt>
                <c:pt idx="170">
                  <c:v>1162.11870740064</c:v>
                </c:pt>
                <c:pt idx="171">
                  <c:v>1167.92930093764</c:v>
                </c:pt>
                <c:pt idx="172">
                  <c:v>1173.76894744233</c:v>
                </c:pt>
                <c:pt idx="173">
                  <c:v>1179.63779217954</c:v>
                </c:pt>
                <c:pt idx="174">
                  <c:v>1185.53598114044</c:v>
                </c:pt>
                <c:pt idx="175">
                  <c:v>1191.46366104614</c:v>
                </c:pt>
                <c:pt idx="176">
                  <c:v>1197.42097935138</c:v>
                </c:pt>
                <c:pt idx="177">
                  <c:v>1203.40808424813</c:v>
                </c:pt>
                <c:pt idx="178">
                  <c:v>1209.42512466937</c:v>
                </c:pt>
                <c:pt idx="179">
                  <c:v>1215.47225029272</c:v>
                </c:pt>
                <c:pt idx="180">
                  <c:v>1221.54961154418</c:v>
                </c:pt>
                <c:pt idx="181">
                  <c:v>1227.6573596019</c:v>
                </c:pt>
                <c:pt idx="182">
                  <c:v>1233.79564639991</c:v>
                </c:pt>
                <c:pt idx="183">
                  <c:v>1239.96462463191</c:v>
                </c:pt>
                <c:pt idx="184">
                  <c:v>1246.16444775507</c:v>
                </c:pt>
                <c:pt idx="185">
                  <c:v>1252.39526999385</c:v>
                </c:pt>
                <c:pt idx="186">
                  <c:v>1258.65724634382</c:v>
                </c:pt>
                <c:pt idx="187">
                  <c:v>1264.95053257554</c:v>
                </c:pt>
                <c:pt idx="188">
                  <c:v>1271.27528523841</c:v>
                </c:pt>
                <c:pt idx="189">
                  <c:v>1277.63166166461</c:v>
                </c:pt>
                <c:pt idx="190">
                  <c:v>1284.01981997293</c:v>
                </c:pt>
                <c:pt idx="191">
                  <c:v>1290.43991907279</c:v>
                </c:pt>
                <c:pt idx="192">
                  <c:v>1296.89211866816</c:v>
                </c:pt>
                <c:pt idx="193">
                  <c:v>1303.3765792615</c:v>
                </c:pt>
                <c:pt idx="194">
                  <c:v>1309.89346215781</c:v>
                </c:pt>
                <c:pt idx="195">
                  <c:v>1316.4429294686</c:v>
                </c:pt>
                <c:pt idx="196">
                  <c:v>1323.02514411594</c:v>
                </c:pt>
                <c:pt idx="197">
                  <c:v>1329.64026983652</c:v>
                </c:pt>
                <c:pt idx="198">
                  <c:v>1336.2884711857</c:v>
                </c:pt>
                <c:pt idx="199">
                  <c:v>1342.96991354163</c:v>
                </c:pt>
                <c:pt idx="200">
                  <c:v>1349.68476310934</c:v>
                </c:pt>
                <c:pt idx="201">
                  <c:v>1356.43318692489</c:v>
                </c:pt>
                <c:pt idx="202">
                  <c:v>1363.21535285951</c:v>
                </c:pt>
                <c:pt idx="203">
                  <c:v>1370.03142962381</c:v>
                </c:pt>
                <c:pt idx="204">
                  <c:v>1376.88158677193</c:v>
                </c:pt>
                <c:pt idx="205">
                  <c:v>1383.76599470579</c:v>
                </c:pt>
                <c:pt idx="206">
                  <c:v>1390.68482467931</c:v>
                </c:pt>
                <c:pt idx="207">
                  <c:v>1397.63824880271</c:v>
                </c:pt>
                <c:pt idx="208">
                  <c:v>1404.62644004673</c:v>
                </c:pt>
                <c:pt idx="209">
                  <c:v>1411.64957224696</c:v>
                </c:pt>
                <c:pt idx="210">
                  <c:v>1418.70782010819</c:v>
                </c:pt>
                <c:pt idx="211">
                  <c:v>1425.80135920873</c:v>
                </c:pt>
                <c:pt idx="212">
                  <c:v>1432.93036600478</c:v>
                </c:pt>
                <c:pt idx="213">
                  <c:v>1440.0950178348</c:v>
                </c:pt>
                <c:pt idx="214">
                  <c:v>1447.29549292398</c:v>
                </c:pt>
                <c:pt idx="215">
                  <c:v>1454.5319703886</c:v>
                </c:pt>
                <c:pt idx="216">
                  <c:v>1461.80463024054</c:v>
                </c:pt>
                <c:pt idx="217">
                  <c:v>1469.11365339174</c:v>
                </c:pt>
                <c:pt idx="218">
                  <c:v>1476.4592216587</c:v>
                </c:pt>
                <c:pt idx="219">
                  <c:v>1483.84151776699</c:v>
                </c:pt>
                <c:pt idx="220">
                  <c:v>1491.26072535583</c:v>
                </c:pt>
                <c:pt idx="221">
                  <c:v>1498.71702898261</c:v>
                </c:pt>
                <c:pt idx="222">
                  <c:v>1506.21061412752</c:v>
                </c:pt>
                <c:pt idx="223">
                  <c:v>1513.74166719816</c:v>
                </c:pt>
                <c:pt idx="224">
                  <c:v>1521.31037553415</c:v>
                </c:pt>
                <c:pt idx="225">
                  <c:v>1528.91692741182</c:v>
                </c:pt>
                <c:pt idx="226">
                  <c:v>1536.56151204888</c:v>
                </c:pt>
                <c:pt idx="227">
                  <c:v>1544.24431960912</c:v>
                </c:pt>
                <c:pt idx="228">
                  <c:v>1551.96554120717</c:v>
                </c:pt>
                <c:pt idx="229">
                  <c:v>1559.72536891321</c:v>
                </c:pt>
                <c:pt idx="230">
                  <c:v>1567.52399575777</c:v>
                </c:pt>
                <c:pt idx="231">
                  <c:v>1575.36161573656</c:v>
                </c:pt>
                <c:pt idx="232">
                  <c:v>1583.23842381524</c:v>
                </c:pt>
                <c:pt idx="233">
                  <c:v>1591.15461593432</c:v>
                </c:pt>
                <c:pt idx="234">
                  <c:v>1599.11038901399</c:v>
                </c:pt>
                <c:pt idx="235">
                  <c:v>1607.10594095906</c:v>
                </c:pt>
                <c:pt idx="236">
                  <c:v>1615.14147066386</c:v>
                </c:pt>
                <c:pt idx="237">
                  <c:v>1623.21717801718</c:v>
                </c:pt>
                <c:pt idx="238">
                  <c:v>1631.33326390726</c:v>
                </c:pt>
                <c:pt idx="239">
                  <c:v>1639.4899302268</c:v>
                </c:pt>
                <c:pt idx="240">
                  <c:v>1647.68737987793</c:v>
                </c:pt>
                <c:pt idx="241">
                  <c:v>1655.92581677732</c:v>
                </c:pt>
                <c:pt idx="242">
                  <c:v>1664.20544586121</c:v>
                </c:pt>
                <c:pt idx="243">
                  <c:v>1672.52647309052</c:v>
                </c:pt>
                <c:pt idx="244">
                  <c:v>1680.88910545597</c:v>
                </c:pt>
                <c:pt idx="245">
                  <c:v>1689.29355098325</c:v>
                </c:pt>
                <c:pt idx="246">
                  <c:v>1697.74001873816</c:v>
                </c:pt>
                <c:pt idx="247">
                  <c:v>1706.22871883186</c:v>
                </c:pt>
                <c:pt idx="248">
                  <c:v>1714.75986242601</c:v>
                </c:pt>
                <c:pt idx="249">
                  <c:v>1723.33366173814</c:v>
                </c:pt>
                <c:pt idx="250">
                  <c:v>1731.95033004684</c:v>
                </c:pt>
                <c:pt idx="251">
                  <c:v>1740.61008169707</c:v>
                </c:pt>
                <c:pt idx="252">
                  <c:v>1749.31313210556</c:v>
                </c:pt>
                <c:pt idx="253">
                  <c:v>1758.05969776608</c:v>
                </c:pt>
                <c:pt idx="254">
                  <c:v>1766.84999625491</c:v>
                </c:pt>
                <c:pt idx="255">
                  <c:v>1775.68424623619</c:v>
                </c:pt>
                <c:pt idx="256">
                  <c:v>1784.56266746737</c:v>
                </c:pt>
                <c:pt idx="257">
                  <c:v>1793.48548080471</c:v>
                </c:pt>
                <c:pt idx="258">
                  <c:v>1802.45290820873</c:v>
                </c:pt>
                <c:pt idx="259">
                  <c:v>1811.46517274977</c:v>
                </c:pt>
                <c:pt idx="260">
                  <c:v>1820.52249861352</c:v>
                </c:pt>
                <c:pt idx="261">
                  <c:v>1829.62511110659</c:v>
                </c:pt>
                <c:pt idx="262">
                  <c:v>1838.77323666212</c:v>
                </c:pt>
                <c:pt idx="263">
                  <c:v>1847.96710284543</c:v>
                </c:pt>
                <c:pt idx="264">
                  <c:v>1857.20693835966</c:v>
                </c:pt>
                <c:pt idx="265">
                  <c:v>1866.49297305146</c:v>
                </c:pt>
                <c:pt idx="266">
                  <c:v>1875.82543791672</c:v>
                </c:pt>
                <c:pt idx="267">
                  <c:v>1885.2045651063</c:v>
                </c:pt>
                <c:pt idx="268">
                  <c:v>1894.63058793183</c:v>
                </c:pt>
                <c:pt idx="269">
                  <c:v>1904.10374087149</c:v>
                </c:pt>
                <c:pt idx="270">
                  <c:v>1913.62425957585</c:v>
                </c:pt>
                <c:pt idx="271">
                  <c:v>1923.19238087373</c:v>
                </c:pt>
                <c:pt idx="272">
                  <c:v>1932.8083427781</c:v>
                </c:pt>
                <c:pt idx="273">
                  <c:v>1942.47238449199</c:v>
                </c:pt>
                <c:pt idx="274">
                  <c:v>1952.18474641445</c:v>
                </c:pt>
                <c:pt idx="275">
                  <c:v>1961.94567014652</c:v>
                </c:pt>
                <c:pt idx="276">
                  <c:v>1971.75539849725</c:v>
                </c:pt>
                <c:pt idx="277">
                  <c:v>1981.61417548974</c:v>
                </c:pt>
                <c:pt idx="278">
                  <c:v>1991.52224636719</c:v>
                </c:pt>
                <c:pt idx="279">
                  <c:v>2001.47985759902</c:v>
                </c:pt>
                <c:pt idx="280">
                  <c:v>2011.48725688702</c:v>
                </c:pt>
                <c:pt idx="281">
                  <c:v>2021.54469317145</c:v>
                </c:pt>
                <c:pt idx="282">
                  <c:v>2031.65241663731</c:v>
                </c:pt>
                <c:pt idx="283">
                  <c:v>2041.8106787205</c:v>
                </c:pt>
                <c:pt idx="284">
                  <c:v>2052.0197321141</c:v>
                </c:pt>
                <c:pt idx="285">
                  <c:v>2062.27983077467</c:v>
                </c:pt>
                <c:pt idx="286">
                  <c:v>2072.59122992854</c:v>
                </c:pt>
                <c:pt idx="287">
                  <c:v>2082.95418607819</c:v>
                </c:pt>
                <c:pt idx="288">
                  <c:v>2093.36895700858</c:v>
                </c:pt>
                <c:pt idx="289">
                  <c:v>2103.83580179362</c:v>
                </c:pt>
                <c:pt idx="290">
                  <c:v>2114.35498080259</c:v>
                </c:pt>
                <c:pt idx="291">
                  <c:v>2124.9267557066</c:v>
                </c:pt>
                <c:pt idx="292">
                  <c:v>2135.55138948513</c:v>
                </c:pt>
                <c:pt idx="293">
                  <c:v>2146.22914643256</c:v>
                </c:pt>
                <c:pt idx="294">
                  <c:v>2156.96029216472</c:v>
                </c:pt>
                <c:pt idx="295">
                  <c:v>2167.74509362555</c:v>
                </c:pt>
                <c:pt idx="296">
                  <c:v>2178.58381909367</c:v>
                </c:pt>
                <c:pt idx="297">
                  <c:v>2189.47673818914</c:v>
                </c:pt>
                <c:pt idx="298">
                  <c:v>2200.42412188009</c:v>
                </c:pt>
                <c:pt idx="299">
                  <c:v>2211.42624248949</c:v>
                </c:pt>
                <c:pt idx="300">
                  <c:v>2222.48337370194</c:v>
                </c:pt>
                <c:pt idx="301">
                  <c:v>2233.59579057045</c:v>
                </c:pt>
                <c:pt idx="302">
                  <c:v>2244.7637695233</c:v>
                </c:pt>
                <c:pt idx="303">
                  <c:v>2255.98758837091</c:v>
                </c:pt>
                <c:pt idx="304">
                  <c:v>2267.26752631277</c:v>
                </c:pt>
                <c:pt idx="305">
                  <c:v>2278.60386394433</c:v>
                </c:pt>
                <c:pt idx="306">
                  <c:v>2289.99688326405</c:v>
                </c:pt>
                <c:pt idx="307">
                  <c:v>2301.44686768038</c:v>
                </c:pt>
                <c:pt idx="308">
                  <c:v>2312.95410201878</c:v>
                </c:pt>
                <c:pt idx="309">
                  <c:v>2324.51887252887</c:v>
                </c:pt>
                <c:pt idx="310">
                  <c:v>2336.14146689152</c:v>
                </c:pt>
                <c:pt idx="311">
                  <c:v>2347.82217422597</c:v>
                </c:pt>
                <c:pt idx="312">
                  <c:v>2359.5612850971</c:v>
                </c:pt>
                <c:pt idx="313">
                  <c:v>2371.35909152259</c:v>
                </c:pt>
                <c:pt idx="314">
                  <c:v>2383.2158869802</c:v>
                </c:pt>
                <c:pt idx="315">
                  <c:v>2395.1319664151</c:v>
                </c:pt>
                <c:pt idx="316">
                  <c:v>2407.10762624718</c:v>
                </c:pt>
                <c:pt idx="317">
                  <c:v>2419.14316437841</c:v>
                </c:pt>
                <c:pt idx="318">
                  <c:v>2431.23888020031</c:v>
                </c:pt>
                <c:pt idx="319">
                  <c:v>2443.39507460131</c:v>
                </c:pt>
                <c:pt idx="320">
                  <c:v>2455.61204997431</c:v>
                </c:pt>
                <c:pt idx="321">
                  <c:v>2467.89011022419</c:v>
                </c:pt>
                <c:pt idx="322">
                  <c:v>2480.22956077531</c:v>
                </c:pt>
                <c:pt idx="323">
                  <c:v>2492.63070857918</c:v>
                </c:pt>
                <c:pt idx="324">
                  <c:v>2505.09386212208</c:v>
                </c:pt>
                <c:pt idx="325">
                  <c:v>2517.61933143269</c:v>
                </c:pt>
                <c:pt idx="326">
                  <c:v>2530.20742808985</c:v>
                </c:pt>
                <c:pt idx="327">
                  <c:v>2542.8584652303</c:v>
                </c:pt>
                <c:pt idx="328">
                  <c:v>2555.57275755645</c:v>
                </c:pt>
                <c:pt idx="329">
                  <c:v>2568.35062134424</c:v>
                </c:pt>
                <c:pt idx="330">
                  <c:v>2581.19237445096</c:v>
                </c:pt>
                <c:pt idx="331">
                  <c:v>2594.09833632321</c:v>
                </c:pt>
                <c:pt idx="332">
                  <c:v>2607.06882800483</c:v>
                </c:pt>
                <c:pt idx="333">
                  <c:v>2620.10417214485</c:v>
                </c:pt>
                <c:pt idx="334">
                  <c:v>2633.20469300558</c:v>
                </c:pt>
                <c:pt idx="335">
                  <c:v>2646.3707164706</c:v>
                </c:pt>
                <c:pt idx="336">
                  <c:v>2659.60257005296</c:v>
                </c:pt>
                <c:pt idx="337">
                  <c:v>2672.90058290322</c:v>
                </c:pt>
                <c:pt idx="338">
                  <c:v>2686.26508581774</c:v>
                </c:pt>
                <c:pt idx="339">
                  <c:v>2699.69641124683</c:v>
                </c:pt>
                <c:pt idx="340">
                  <c:v>2713.19489330306</c:v>
                </c:pt>
                <c:pt idx="341">
                  <c:v>2726.76086776958</c:v>
                </c:pt>
                <c:pt idx="342">
                  <c:v>2740.39467210842</c:v>
                </c:pt>
                <c:pt idx="343">
                  <c:v>2754.09664546897</c:v>
                </c:pt>
                <c:pt idx="344">
                  <c:v>2767.86712869631</c:v>
                </c:pt>
                <c:pt idx="345">
                  <c:v>2781.70646433979</c:v>
                </c:pt>
                <c:pt idx="346">
                  <c:v>2795.61499666149</c:v>
                </c:pt>
                <c:pt idx="347">
                  <c:v>2809.5930716448</c:v>
                </c:pt>
                <c:pt idx="348">
                  <c:v>2823.64103700302</c:v>
                </c:pt>
                <c:pt idx="349">
                  <c:v>2837.75924218804</c:v>
                </c:pt>
                <c:pt idx="350">
                  <c:v>2851.94803839898</c:v>
                </c:pt>
                <c:pt idx="351">
                  <c:v>2866.20777859097</c:v>
                </c:pt>
                <c:pt idx="352">
                  <c:v>2880.53881748393</c:v>
                </c:pt>
                <c:pt idx="353">
                  <c:v>2894.94151157135</c:v>
                </c:pt>
                <c:pt idx="354">
                  <c:v>2909.4162191292</c:v>
                </c:pt>
                <c:pt idx="355">
                  <c:v>2923.96330022485</c:v>
                </c:pt>
                <c:pt idx="356">
                  <c:v>2938.58311672597</c:v>
                </c:pt>
                <c:pt idx="357">
                  <c:v>2953.2760323096</c:v>
                </c:pt>
                <c:pt idx="358">
                  <c:v>2968.04241247115</c:v>
                </c:pt>
                <c:pt idx="359">
                  <c:v>2975.47509329859</c:v>
                </c:pt>
              </c:numCache>
            </c:numRef>
          </c:val>
          <c:smooth val="0"/>
        </c:ser>
        <c:hiLowLines>
          <c:spPr>
            <a:ln w="0">
              <a:noFill/>
            </a:ln>
          </c:spPr>
        </c:hiLowLines>
        <c:marker val="0"/>
        <c:axId val="85599777"/>
        <c:axId val="53922607"/>
      </c:lineChart>
      <c:catAx>
        <c:axId val="85599777"/>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Repayment number</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3922607"/>
        <c:crosses val="autoZero"/>
        <c:auto val="1"/>
        <c:lblAlgn val="ctr"/>
        <c:lblOffset val="100"/>
        <c:noMultiLvlLbl val="0"/>
      </c:catAx>
      <c:valAx>
        <c:axId val="53922607"/>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Amount</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5599777"/>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_rels/drawing3.xml.rels><?xml version="1.0" encoding="UTF-8"?>
<Relationships xmlns="http://schemas.openxmlformats.org/package/2006/relationships"><Relationship Id="rId1" Type="http://schemas.openxmlformats.org/officeDocument/2006/relationships/chart" Target="../charts/chart3.xml"/>
</Relationships>
</file>

<file path=xl/drawings/_rels/drawing4.xml.rels><?xml version="1.0" encoding="UTF-8"?>
<Relationships xmlns="http://schemas.openxmlformats.org/package/2006/relationships"><Relationship Id="rId1" Type="http://schemas.openxmlformats.org/officeDocument/2006/relationships/chart" Target="../charts/chart4.xml"/>
</Relationships>
</file>

<file path=xl/drawings/_rels/drawing5.xml.rels><?xml version="1.0" encoding="UTF-8"?>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13</xdr:row>
      <xdr:rowOff>0</xdr:rowOff>
    </xdr:from>
    <xdr:to>
      <xdr:col>16</xdr:col>
      <xdr:colOff>221760</xdr:colOff>
      <xdr:row>28</xdr:row>
      <xdr:rowOff>172440</xdr:rowOff>
    </xdr:to>
    <xdr:graphicFrame>
      <xdr:nvGraphicFramePr>
        <xdr:cNvPr id="0" name="Chart 1"/>
        <xdr:cNvGraphicFramePr/>
      </xdr:nvGraphicFramePr>
      <xdr:xfrm>
        <a:off x="9163080" y="2895480"/>
        <a:ext cx="719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10</xdr:row>
      <xdr:rowOff>0</xdr:rowOff>
    </xdr:from>
    <xdr:to>
      <xdr:col>16</xdr:col>
      <xdr:colOff>221760</xdr:colOff>
      <xdr:row>26</xdr:row>
      <xdr:rowOff>134640</xdr:rowOff>
    </xdr:to>
    <xdr:graphicFrame>
      <xdr:nvGraphicFramePr>
        <xdr:cNvPr id="1" name="Chart 1"/>
        <xdr:cNvGraphicFramePr/>
      </xdr:nvGraphicFramePr>
      <xdr:xfrm>
        <a:off x="9163080" y="2324160"/>
        <a:ext cx="719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12</xdr:row>
      <xdr:rowOff>0</xdr:rowOff>
    </xdr:from>
    <xdr:to>
      <xdr:col>16</xdr:col>
      <xdr:colOff>221760</xdr:colOff>
      <xdr:row>28</xdr:row>
      <xdr:rowOff>134640</xdr:rowOff>
    </xdr:to>
    <xdr:graphicFrame>
      <xdr:nvGraphicFramePr>
        <xdr:cNvPr id="2" name="Chart 1"/>
        <xdr:cNvGraphicFramePr/>
      </xdr:nvGraphicFramePr>
      <xdr:xfrm>
        <a:off x="9163080" y="2762280"/>
        <a:ext cx="719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13</xdr:row>
      <xdr:rowOff>0</xdr:rowOff>
    </xdr:from>
    <xdr:to>
      <xdr:col>16</xdr:col>
      <xdr:colOff>221760</xdr:colOff>
      <xdr:row>28</xdr:row>
      <xdr:rowOff>172440</xdr:rowOff>
    </xdr:to>
    <xdr:graphicFrame>
      <xdr:nvGraphicFramePr>
        <xdr:cNvPr id="3" name="Chart 1"/>
        <xdr:cNvGraphicFramePr/>
      </xdr:nvGraphicFramePr>
      <xdr:xfrm>
        <a:off x="9163080" y="2895480"/>
        <a:ext cx="719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23</xdr:row>
      <xdr:rowOff>0</xdr:rowOff>
    </xdr:from>
    <xdr:to>
      <xdr:col>16</xdr:col>
      <xdr:colOff>221760</xdr:colOff>
      <xdr:row>38</xdr:row>
      <xdr:rowOff>172440</xdr:rowOff>
    </xdr:to>
    <xdr:graphicFrame>
      <xdr:nvGraphicFramePr>
        <xdr:cNvPr id="4" name="Chart 1"/>
        <xdr:cNvGraphicFramePr/>
      </xdr:nvGraphicFramePr>
      <xdr:xfrm>
        <a:off x="9163080" y="4800600"/>
        <a:ext cx="719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42</xdr:row>
      <xdr:rowOff>0</xdr:rowOff>
    </xdr:from>
    <xdr:to>
      <xdr:col>16</xdr:col>
      <xdr:colOff>221760</xdr:colOff>
      <xdr:row>59</xdr:row>
      <xdr:rowOff>1080</xdr:rowOff>
    </xdr:to>
    <xdr:graphicFrame>
      <xdr:nvGraphicFramePr>
        <xdr:cNvPr id="5" name="Chart 2"/>
        <xdr:cNvGraphicFramePr/>
      </xdr:nvGraphicFramePr>
      <xdr:xfrm>
        <a:off x="9163080" y="8629560"/>
        <a:ext cx="7199640" cy="323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2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62"/>
    <col collapsed="false" customWidth="true" hidden="false" outlineLevel="0" max="3" min="3" style="0" width="58"/>
  </cols>
  <sheetData>
    <row r="1" customFormat="false" ht="31.5" hidden="false" customHeight="true" outlineLevel="0" collapsed="false">
      <c r="A1" s="1" t="s">
        <v>0</v>
      </c>
      <c r="B1" s="1"/>
      <c r="C1" s="1"/>
    </row>
    <row r="2" customFormat="false" ht="31.5" hidden="false" customHeight="true" outlineLevel="0" collapsed="false">
      <c r="A2" s="2" t="s">
        <v>1</v>
      </c>
      <c r="B2" s="2"/>
      <c r="C2" s="2"/>
    </row>
    <row r="4" customFormat="false" ht="15" hidden="false" customHeight="false" outlineLevel="0" collapsed="false">
      <c r="A4" s="3" t="s">
        <v>2</v>
      </c>
    </row>
    <row r="5" customFormat="false" ht="15" hidden="false" customHeight="false" outlineLevel="0" collapsed="false">
      <c r="A5" s="4" t="s">
        <v>3</v>
      </c>
    </row>
    <row r="6" customFormat="false" ht="15" hidden="false" customHeight="false" outlineLevel="0" collapsed="false">
      <c r="A6" s="4" t="s">
        <v>4</v>
      </c>
    </row>
    <row r="7" customFormat="false" ht="15" hidden="false" customHeight="false" outlineLevel="0" collapsed="false">
      <c r="A7" s="4" t="s">
        <v>5</v>
      </c>
    </row>
    <row r="9" customFormat="false" ht="15" hidden="false" customHeight="false" outlineLevel="0" collapsed="false">
      <c r="A9" s="3" t="s">
        <v>6</v>
      </c>
    </row>
    <row r="10" customFormat="false" ht="15" hidden="false" customHeight="false" outlineLevel="0" collapsed="false">
      <c r="A10" s="5" t="n">
        <v>5000</v>
      </c>
      <c r="B10" s="4" t="s">
        <v>7</v>
      </c>
    </row>
    <row r="11" customFormat="false" ht="15" hidden="false" customHeight="false" outlineLevel="0" collapsed="false">
      <c r="A11" s="6" t="n">
        <f aca="false">A10*1.06</f>
        <v>5300</v>
      </c>
      <c r="B11" s="4" t="s">
        <v>8</v>
      </c>
    </row>
    <row r="12" customFormat="false" ht="15" hidden="false" customHeight="false" outlineLevel="0" collapsed="false">
      <c r="A12" s="3" t="s">
        <v>9</v>
      </c>
      <c r="B12" s="4" t="s">
        <v>10</v>
      </c>
    </row>
    <row r="14" customFormat="false" ht="15" hidden="false" customHeight="false" outlineLevel="0" collapsed="false">
      <c r="A14" s="3" t="s">
        <v>11</v>
      </c>
    </row>
    <row r="15" customFormat="false" ht="19.5" hidden="false" customHeight="true" outlineLevel="0" collapsed="false">
      <c r="A15" s="7" t="s">
        <v>12</v>
      </c>
      <c r="B15" s="7" t="s">
        <v>13</v>
      </c>
      <c r="C15" s="7" t="s">
        <v>14</v>
      </c>
    </row>
    <row r="16" customFormat="false" ht="15" hidden="false" customHeight="false" outlineLevel="0" collapsed="false">
      <c r="A16" s="8" t="s">
        <v>15</v>
      </c>
      <c r="B16" s="8" t="s">
        <v>16</v>
      </c>
      <c r="C16" s="8" t="s">
        <v>17</v>
      </c>
    </row>
    <row r="17" customFormat="false" ht="15" hidden="false" customHeight="false" outlineLevel="0" collapsed="false">
      <c r="A17" s="8" t="s">
        <v>18</v>
      </c>
      <c r="B17" s="8" t="s">
        <v>19</v>
      </c>
      <c r="C17" s="8" t="s">
        <v>20</v>
      </c>
    </row>
    <row r="18" customFormat="false" ht="15" hidden="false" customHeight="false" outlineLevel="0" collapsed="false">
      <c r="A18" s="8" t="s">
        <v>21</v>
      </c>
      <c r="B18" s="8" t="s">
        <v>22</v>
      </c>
      <c r="C18" s="8" t="s">
        <v>20</v>
      </c>
    </row>
    <row r="19" customFormat="false" ht="15" hidden="false" customHeight="false" outlineLevel="0" collapsed="false">
      <c r="A19" s="8" t="s">
        <v>23</v>
      </c>
      <c r="B19" s="8" t="s">
        <v>24</v>
      </c>
      <c r="C19" s="8" t="s">
        <v>25</v>
      </c>
    </row>
    <row r="20" customFormat="false" ht="15" hidden="false" customHeight="false" outlineLevel="0" collapsed="false">
      <c r="A20" s="8" t="s">
        <v>26</v>
      </c>
      <c r="B20" s="8" t="s">
        <v>27</v>
      </c>
      <c r="C20" s="8" t="s">
        <v>28</v>
      </c>
    </row>
    <row r="23" customFormat="false" ht="15" hidden="false" customHeight="false" outlineLevel="0" collapsed="false">
      <c r="A23" s="3" t="s">
        <v>29</v>
      </c>
    </row>
    <row r="24" customFormat="false" ht="15" hidden="false" customHeight="true" outlineLevel="0" collapsed="false">
      <c r="A24" s="9" t="s">
        <v>30</v>
      </c>
      <c r="B24" s="10" t="s">
        <v>31</v>
      </c>
      <c r="C24" s="10"/>
    </row>
    <row r="25" customFormat="false" ht="15" hidden="false" customHeight="true" outlineLevel="0" collapsed="false">
      <c r="A25" s="9" t="s">
        <v>32</v>
      </c>
      <c r="B25" s="10" t="s">
        <v>33</v>
      </c>
      <c r="C25" s="10"/>
    </row>
    <row r="26" customFormat="false" ht="15" hidden="false" customHeight="true" outlineLevel="0" collapsed="false">
      <c r="A26" s="9" t="s">
        <v>34</v>
      </c>
      <c r="B26" s="10" t="s">
        <v>35</v>
      </c>
      <c r="C26" s="10"/>
    </row>
    <row r="27" customFormat="false" ht="15" hidden="false" customHeight="true" outlineLevel="0" collapsed="false">
      <c r="A27" s="9" t="s">
        <v>36</v>
      </c>
      <c r="B27" s="10" t="s">
        <v>37</v>
      </c>
      <c r="C27" s="10"/>
    </row>
    <row r="28" customFormat="false" ht="15" hidden="false" customHeight="true" outlineLevel="0" collapsed="false">
      <c r="A28" s="9" t="s">
        <v>38</v>
      </c>
      <c r="B28" s="10" t="s">
        <v>39</v>
      </c>
      <c r="C28" s="10"/>
    </row>
    <row r="29" customFormat="false" ht="15" hidden="false" customHeight="true" outlineLevel="0" collapsed="false">
      <c r="A29" s="9" t="s">
        <v>40</v>
      </c>
      <c r="B29" s="10" t="s">
        <v>41</v>
      </c>
      <c r="C29" s="10"/>
    </row>
  </sheetData>
  <mergeCells count="8">
    <mergeCell ref="A1:C1"/>
    <mergeCell ref="A2:C2"/>
    <mergeCell ref="B24:C24"/>
    <mergeCell ref="B25:C25"/>
    <mergeCell ref="B26:C26"/>
    <mergeCell ref="B27:C27"/>
    <mergeCell ref="B28:C28"/>
    <mergeCell ref="B29:C29"/>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6" min="2" style="0" width="17"/>
    <col collapsed="false" customWidth="true" hidden="false" outlineLevel="0" max="7" min="7" style="0" width="3"/>
    <col collapsed="false" customWidth="true" hidden="false" outlineLevel="0" max="17" min="8" style="0" width="11"/>
  </cols>
  <sheetData>
    <row r="1" customFormat="false" ht="31.5" hidden="false" customHeight="true" outlineLevel="0" collapsed="false">
      <c r="A1" s="1" t="s">
        <v>42</v>
      </c>
      <c r="B1" s="1"/>
      <c r="C1" s="1"/>
      <c r="D1" s="1"/>
      <c r="E1" s="1"/>
      <c r="F1" s="1"/>
      <c r="G1" s="1"/>
      <c r="H1" s="1"/>
      <c r="I1" s="1"/>
      <c r="J1" s="1"/>
      <c r="K1" s="1"/>
      <c r="L1" s="1"/>
      <c r="M1" s="1"/>
      <c r="N1" s="1"/>
      <c r="O1" s="1"/>
      <c r="P1" s="1"/>
      <c r="Q1" s="1"/>
    </row>
    <row r="2" customFormat="false" ht="31.5" hidden="false" customHeight="true" outlineLevel="0" collapsed="false">
      <c r="A2" s="2" t="s">
        <v>43</v>
      </c>
      <c r="B2" s="2"/>
      <c r="C2" s="2"/>
      <c r="D2" s="2"/>
      <c r="E2" s="2"/>
      <c r="F2" s="2"/>
      <c r="G2" s="2"/>
      <c r="H2" s="2"/>
      <c r="I2" s="2"/>
      <c r="J2" s="2"/>
      <c r="K2" s="2"/>
      <c r="L2" s="2"/>
      <c r="M2" s="2"/>
      <c r="N2" s="2"/>
      <c r="O2" s="2"/>
      <c r="P2" s="2"/>
      <c r="Q2" s="2"/>
    </row>
    <row r="4" customFormat="false" ht="15" hidden="false" customHeight="false" outlineLevel="0" collapsed="false">
      <c r="A4" s="3" t="s">
        <v>44</v>
      </c>
      <c r="H4" s="3" t="s">
        <v>45</v>
      </c>
    </row>
    <row r="5" customFormat="false" ht="15" hidden="false" customHeight="true" outlineLevel="0" collapsed="false">
      <c r="A5" s="4" t="s">
        <v>46</v>
      </c>
      <c r="B5" s="5" t="n">
        <v>5000</v>
      </c>
      <c r="H5" s="10" t="s">
        <v>47</v>
      </c>
      <c r="I5" s="10"/>
      <c r="J5" s="10"/>
      <c r="K5" s="10"/>
      <c r="L5" s="10"/>
      <c r="M5" s="10"/>
      <c r="N5" s="10"/>
      <c r="O5" s="10"/>
      <c r="P5" s="10"/>
      <c r="Q5" s="10"/>
    </row>
    <row r="6" customFormat="false" ht="15" hidden="false" customHeight="false" outlineLevel="0" collapsed="false">
      <c r="A6" s="4" t="s">
        <v>48</v>
      </c>
      <c r="B6" s="11" t="n">
        <v>0.06</v>
      </c>
      <c r="H6" s="10"/>
      <c r="I6" s="10"/>
      <c r="J6" s="10"/>
      <c r="K6" s="10"/>
      <c r="L6" s="10"/>
      <c r="M6" s="10"/>
      <c r="N6" s="10"/>
      <c r="O6" s="10"/>
      <c r="P6" s="10"/>
      <c r="Q6" s="10"/>
    </row>
    <row r="7" customFormat="false" ht="15" hidden="false" customHeight="true" outlineLevel="0" collapsed="false">
      <c r="H7" s="12" t="s">
        <v>49</v>
      </c>
      <c r="I7" s="12"/>
      <c r="J7" s="12"/>
      <c r="K7" s="12"/>
      <c r="L7" s="12"/>
      <c r="M7" s="12"/>
      <c r="N7" s="12"/>
      <c r="O7" s="12"/>
      <c r="P7" s="12"/>
      <c r="Q7" s="12"/>
    </row>
    <row r="8" customFormat="false" ht="15" hidden="false" customHeight="true" outlineLevel="0" collapsed="false">
      <c r="A8" s="3" t="s">
        <v>50</v>
      </c>
      <c r="H8" s="10" t="s">
        <v>51</v>
      </c>
      <c r="I8" s="10"/>
      <c r="J8" s="10"/>
      <c r="K8" s="10"/>
      <c r="L8" s="10"/>
      <c r="M8" s="10"/>
      <c r="N8" s="10"/>
      <c r="O8" s="10"/>
      <c r="P8" s="10"/>
      <c r="Q8" s="10"/>
    </row>
    <row r="9" customFormat="false" ht="15" hidden="false" customHeight="false" outlineLevel="0" collapsed="false">
      <c r="A9" s="4" t="s">
        <v>52</v>
      </c>
      <c r="B9" s="6" t="n">
        <f aca="false">B35</f>
        <v>11000</v>
      </c>
      <c r="H9" s="10"/>
      <c r="I9" s="10"/>
      <c r="J9" s="10"/>
      <c r="K9" s="10"/>
      <c r="L9" s="10"/>
      <c r="M9" s="10"/>
      <c r="N9" s="10"/>
      <c r="O9" s="10"/>
      <c r="P9" s="10"/>
      <c r="Q9" s="10"/>
    </row>
    <row r="10" customFormat="false" ht="15" hidden="false" customHeight="true" outlineLevel="0" collapsed="false">
      <c r="A10" s="4" t="s">
        <v>53</v>
      </c>
      <c r="B10" s="6" t="n">
        <f aca="false">C35</f>
        <v>16035.6773610642</v>
      </c>
      <c r="H10" s="12" t="s">
        <v>54</v>
      </c>
      <c r="I10" s="12"/>
      <c r="J10" s="12"/>
      <c r="K10" s="12"/>
      <c r="L10" s="12"/>
      <c r="M10" s="12"/>
      <c r="N10" s="12"/>
      <c r="O10" s="12"/>
      <c r="P10" s="12"/>
      <c r="Q10" s="12"/>
    </row>
    <row r="11" customFormat="false" ht="15" hidden="false" customHeight="true" outlineLevel="0" collapsed="false">
      <c r="A11" s="4" t="s">
        <v>55</v>
      </c>
      <c r="B11" s="6" t="n">
        <f aca="false">B10-B9</f>
        <v>5035.67736106424</v>
      </c>
      <c r="H11" s="10" t="s">
        <v>56</v>
      </c>
      <c r="I11" s="10"/>
      <c r="J11" s="10"/>
      <c r="K11" s="10"/>
      <c r="L11" s="10"/>
      <c r="M11" s="10"/>
      <c r="N11" s="10"/>
      <c r="O11" s="10"/>
      <c r="P11" s="10"/>
      <c r="Q11" s="10"/>
    </row>
    <row r="12" customFormat="false" ht="15" hidden="false" customHeight="false" outlineLevel="0" collapsed="false">
      <c r="A12" s="4" t="s">
        <v>57</v>
      </c>
      <c r="B12" s="13" t="n">
        <f aca="false">IF(C35&gt;=2*B5,COUNTIF(C15:C35,"&lt;"&amp;2*B5),"More than 20")</f>
        <v>12</v>
      </c>
      <c r="H12" s="10"/>
      <c r="I12" s="10"/>
      <c r="J12" s="10"/>
      <c r="K12" s="10"/>
      <c r="L12" s="10"/>
      <c r="M12" s="10"/>
      <c r="N12" s="10"/>
      <c r="O12" s="10"/>
      <c r="P12" s="10"/>
      <c r="Q12" s="10"/>
    </row>
    <row r="14" customFormat="false" ht="31.5" hidden="false" customHeight="true" outlineLevel="0" collapsed="false">
      <c r="A14" s="7" t="s">
        <v>58</v>
      </c>
      <c r="B14" s="7" t="s">
        <v>59</v>
      </c>
      <c r="C14" s="7" t="s">
        <v>60</v>
      </c>
      <c r="D14" s="7" t="s">
        <v>61</v>
      </c>
      <c r="E14" s="7" t="s">
        <v>62</v>
      </c>
    </row>
    <row r="15" customFormat="false" ht="15" hidden="false" customHeight="false" outlineLevel="0" collapsed="false">
      <c r="A15" s="13" t="n">
        <v>0</v>
      </c>
      <c r="B15" s="6" t="n">
        <f aca="false">$B$5*(1+$B$6*A15)</f>
        <v>5000</v>
      </c>
      <c r="C15" s="6" t="n">
        <f aca="false">$B$5*(1+$B$6)^A15</f>
        <v>5000</v>
      </c>
      <c r="D15" s="14" t="s">
        <v>63</v>
      </c>
      <c r="E15" s="6" t="n">
        <f aca="false">C15-B15</f>
        <v>0</v>
      </c>
    </row>
    <row r="16" customFormat="false" ht="15" hidden="false" customHeight="false" outlineLevel="0" collapsed="false">
      <c r="A16" s="13" t="n">
        <v>1</v>
      </c>
      <c r="B16" s="6" t="n">
        <f aca="false">$B$5*(1+$B$6*A16)</f>
        <v>5300</v>
      </c>
      <c r="C16" s="6" t="n">
        <f aca="false">$B$5*(1+$B$6)^A16</f>
        <v>5300</v>
      </c>
      <c r="D16" s="14" t="n">
        <f aca="false">C16-C15</f>
        <v>300</v>
      </c>
      <c r="E16" s="6" t="n">
        <f aca="false">C16-B16</f>
        <v>0</v>
      </c>
    </row>
    <row r="17" customFormat="false" ht="15" hidden="false" customHeight="false" outlineLevel="0" collapsed="false">
      <c r="A17" s="13" t="n">
        <v>2</v>
      </c>
      <c r="B17" s="6" t="n">
        <f aca="false">$B$5*(1+$B$6*A17)</f>
        <v>5600</v>
      </c>
      <c r="C17" s="6" t="n">
        <f aca="false">$B$5*(1+$B$6)^A17</f>
        <v>5618</v>
      </c>
      <c r="D17" s="14" t="n">
        <f aca="false">C17-C16</f>
        <v>318.000000000001</v>
      </c>
      <c r="E17" s="6" t="n">
        <f aca="false">C17-B17</f>
        <v>18</v>
      </c>
    </row>
    <row r="18" customFormat="false" ht="15" hidden="false" customHeight="false" outlineLevel="0" collapsed="false">
      <c r="A18" s="13" t="n">
        <v>3</v>
      </c>
      <c r="B18" s="6" t="n">
        <f aca="false">$B$5*(1+$B$6*A18)</f>
        <v>5900</v>
      </c>
      <c r="C18" s="6" t="n">
        <f aca="false">$B$5*(1+$B$6)^A18</f>
        <v>5955.08</v>
      </c>
      <c r="D18" s="14" t="n">
        <f aca="false">C18-C17</f>
        <v>337.079999999999</v>
      </c>
      <c r="E18" s="6" t="n">
        <f aca="false">C18-B18</f>
        <v>55.0799999999999</v>
      </c>
    </row>
    <row r="19" customFormat="false" ht="15" hidden="false" customHeight="false" outlineLevel="0" collapsed="false">
      <c r="A19" s="13" t="n">
        <v>4</v>
      </c>
      <c r="B19" s="6" t="n">
        <f aca="false">$B$5*(1+$B$6*A19)</f>
        <v>6200</v>
      </c>
      <c r="C19" s="6" t="n">
        <f aca="false">$B$5*(1+$B$6)^A19</f>
        <v>6312.3848</v>
      </c>
      <c r="D19" s="14" t="n">
        <f aca="false">C19-C18</f>
        <v>357.304800000002</v>
      </c>
      <c r="E19" s="6" t="n">
        <f aca="false">C19-B19</f>
        <v>112.384800000002</v>
      </c>
    </row>
    <row r="20" customFormat="false" ht="15" hidden="false" customHeight="false" outlineLevel="0" collapsed="false">
      <c r="A20" s="13" t="n">
        <v>5</v>
      </c>
      <c r="B20" s="6" t="n">
        <f aca="false">$B$5*(1+$B$6*A20)</f>
        <v>6500</v>
      </c>
      <c r="C20" s="6" t="n">
        <f aca="false">$B$5*(1+$B$6)^A20</f>
        <v>6691.127888</v>
      </c>
      <c r="D20" s="14" t="n">
        <f aca="false">C20-C19</f>
        <v>378.743088</v>
      </c>
      <c r="E20" s="6" t="n">
        <f aca="false">C20-B20</f>
        <v>191.127888000002</v>
      </c>
    </row>
    <row r="21" customFormat="false" ht="15" hidden="false" customHeight="false" outlineLevel="0" collapsed="false">
      <c r="A21" s="13" t="n">
        <v>6</v>
      </c>
      <c r="B21" s="6" t="n">
        <f aca="false">$B$5*(1+$B$6*A21)</f>
        <v>6800</v>
      </c>
      <c r="C21" s="6" t="n">
        <f aca="false">$B$5*(1+$B$6)^A21</f>
        <v>7092.59556128</v>
      </c>
      <c r="D21" s="14" t="n">
        <f aca="false">C21-C20</f>
        <v>401.46767328</v>
      </c>
      <c r="E21" s="6" t="n">
        <f aca="false">C21-B21</f>
        <v>292.595561280003</v>
      </c>
    </row>
    <row r="22" customFormat="false" ht="15" hidden="false" customHeight="false" outlineLevel="0" collapsed="false">
      <c r="A22" s="13" t="n">
        <v>7</v>
      </c>
      <c r="B22" s="6" t="n">
        <f aca="false">$B$5*(1+$B$6*A22)</f>
        <v>7100</v>
      </c>
      <c r="C22" s="6" t="n">
        <f aca="false">$B$5*(1+$B$6)^A22</f>
        <v>7518.1512949568</v>
      </c>
      <c r="D22" s="14" t="n">
        <f aca="false">C22-C21</f>
        <v>425.555733676802</v>
      </c>
      <c r="E22" s="6" t="n">
        <f aca="false">C22-B22</f>
        <v>418.151294956803</v>
      </c>
    </row>
    <row r="23" customFormat="false" ht="15" hidden="false" customHeight="false" outlineLevel="0" collapsed="false">
      <c r="A23" s="13" t="n">
        <v>8</v>
      </c>
      <c r="B23" s="6" t="n">
        <f aca="false">$B$5*(1+$B$6*A23)</f>
        <v>7400</v>
      </c>
      <c r="C23" s="6" t="n">
        <f aca="false">$B$5*(1+$B$6)^A23</f>
        <v>7969.24037265421</v>
      </c>
      <c r="D23" s="14" t="n">
        <f aca="false">C23-C22</f>
        <v>451.089077697408</v>
      </c>
      <c r="E23" s="6" t="n">
        <f aca="false">C23-B23</f>
        <v>569.240372654212</v>
      </c>
    </row>
    <row r="24" customFormat="false" ht="15" hidden="false" customHeight="false" outlineLevel="0" collapsed="false">
      <c r="A24" s="13" t="n">
        <v>9</v>
      </c>
      <c r="B24" s="6" t="n">
        <f aca="false">$B$5*(1+$B$6*A24)</f>
        <v>7700</v>
      </c>
      <c r="C24" s="6" t="n">
        <f aca="false">$B$5*(1+$B$6)^A24</f>
        <v>8447.39479501346</v>
      </c>
      <c r="D24" s="14" t="n">
        <f aca="false">C24-C23</f>
        <v>478.154422359253</v>
      </c>
      <c r="E24" s="6" t="n">
        <f aca="false">C24-B24</f>
        <v>747.394795013464</v>
      </c>
    </row>
    <row r="25" customFormat="false" ht="15" hidden="false" customHeight="false" outlineLevel="0" collapsed="false">
      <c r="A25" s="13" t="n">
        <v>10</v>
      </c>
      <c r="B25" s="6" t="n">
        <f aca="false">$B$5*(1+$B$6*A25)</f>
        <v>8000</v>
      </c>
      <c r="C25" s="6" t="n">
        <f aca="false">$B$5*(1+$B$6)^A25</f>
        <v>8954.23848271427</v>
      </c>
      <c r="D25" s="14" t="n">
        <f aca="false">C25-C24</f>
        <v>506.843687700808</v>
      </c>
      <c r="E25" s="6" t="n">
        <f aca="false">C25-B25</f>
        <v>954.238482714272</v>
      </c>
    </row>
    <row r="26" customFormat="false" ht="15" hidden="false" customHeight="false" outlineLevel="0" collapsed="false">
      <c r="A26" s="13" t="n">
        <v>11</v>
      </c>
      <c r="B26" s="6" t="n">
        <f aca="false">$B$5*(1+$B$6*A26)</f>
        <v>8300</v>
      </c>
      <c r="C26" s="6" t="n">
        <f aca="false">$B$5*(1+$B$6)^A26</f>
        <v>9491.49279167713</v>
      </c>
      <c r="D26" s="14" t="n">
        <f aca="false">C26-C25</f>
        <v>537.254308962858</v>
      </c>
      <c r="E26" s="6" t="n">
        <f aca="false">C26-B26</f>
        <v>1191.49279167713</v>
      </c>
    </row>
    <row r="27" customFormat="false" ht="15" hidden="false" customHeight="false" outlineLevel="0" collapsed="false">
      <c r="A27" s="13" t="n">
        <v>12</v>
      </c>
      <c r="B27" s="6" t="n">
        <f aca="false">$B$5*(1+$B$6*A27)</f>
        <v>8600</v>
      </c>
      <c r="C27" s="6" t="n">
        <f aca="false">$B$5*(1+$B$6)^A27</f>
        <v>10060.9823591778</v>
      </c>
      <c r="D27" s="14" t="n">
        <f aca="false">C27-C26</f>
        <v>569.489567500626</v>
      </c>
      <c r="E27" s="6" t="n">
        <f aca="false">C27-B27</f>
        <v>1460.98235917776</v>
      </c>
    </row>
    <row r="28" customFormat="false" ht="15" hidden="false" customHeight="false" outlineLevel="0" collapsed="false">
      <c r="A28" s="13" t="n">
        <v>13</v>
      </c>
      <c r="B28" s="6" t="n">
        <f aca="false">$B$5*(1+$B$6*A28)</f>
        <v>8900</v>
      </c>
      <c r="C28" s="6" t="n">
        <f aca="false">$B$5*(1+$B$6)^A28</f>
        <v>10664.6413007284</v>
      </c>
      <c r="D28" s="14" t="n">
        <f aca="false">C28-C27</f>
        <v>603.658941550666</v>
      </c>
      <c r="E28" s="6" t="n">
        <f aca="false">C28-B28</f>
        <v>1764.64130072842</v>
      </c>
    </row>
    <row r="29" customFormat="false" ht="15" hidden="false" customHeight="false" outlineLevel="0" collapsed="false">
      <c r="A29" s="13" t="n">
        <v>14</v>
      </c>
      <c r="B29" s="6" t="n">
        <f aca="false">$B$5*(1+$B$6*A29)</f>
        <v>9200</v>
      </c>
      <c r="C29" s="6" t="n">
        <f aca="false">$B$5*(1+$B$6)^A29</f>
        <v>11304.5197787721</v>
      </c>
      <c r="D29" s="14" t="n">
        <f aca="false">C29-C28</f>
        <v>639.878478043707</v>
      </c>
      <c r="E29" s="6" t="n">
        <f aca="false">C29-B29</f>
        <v>2104.51977877213</v>
      </c>
    </row>
    <row r="30" customFormat="false" ht="15" hidden="false" customHeight="false" outlineLevel="0" collapsed="false">
      <c r="A30" s="13" t="n">
        <v>15</v>
      </c>
      <c r="B30" s="6" t="n">
        <f aca="false">$B$5*(1+$B$6*A30)</f>
        <v>9500</v>
      </c>
      <c r="C30" s="6" t="n">
        <f aca="false">$B$5*(1+$B$6)^A30</f>
        <v>11982.7909654985</v>
      </c>
      <c r="D30" s="14" t="n">
        <f aca="false">C30-C29</f>
        <v>678.271186726328</v>
      </c>
      <c r="E30" s="6" t="n">
        <f aca="false">C30-B30</f>
        <v>2482.79096549846</v>
      </c>
    </row>
    <row r="31" customFormat="false" ht="15" hidden="false" customHeight="false" outlineLevel="0" collapsed="false">
      <c r="A31" s="13" t="n">
        <v>16</v>
      </c>
      <c r="B31" s="6" t="n">
        <f aca="false">$B$5*(1+$B$6*A31)</f>
        <v>9800</v>
      </c>
      <c r="C31" s="6" t="n">
        <f aca="false">$B$5*(1+$B$6)^A31</f>
        <v>12701.7584234284</v>
      </c>
      <c r="D31" s="14" t="n">
        <f aca="false">C31-C30</f>
        <v>718.967457929908</v>
      </c>
      <c r="E31" s="6" t="n">
        <f aca="false">C31-B31</f>
        <v>2901.75842342837</v>
      </c>
    </row>
    <row r="32" customFormat="false" ht="15" hidden="false" customHeight="false" outlineLevel="0" collapsed="false">
      <c r="A32" s="13" t="n">
        <v>17</v>
      </c>
      <c r="B32" s="6" t="n">
        <f aca="false">$B$5*(1+$B$6*A32)</f>
        <v>10100</v>
      </c>
      <c r="C32" s="6" t="n">
        <f aca="false">$B$5*(1+$B$6)^A32</f>
        <v>13463.8639288341</v>
      </c>
      <c r="D32" s="14" t="n">
        <f aca="false">C32-C31</f>
        <v>762.105505405702</v>
      </c>
      <c r="E32" s="6" t="n">
        <f aca="false">C32-B32</f>
        <v>3363.86392883407</v>
      </c>
    </row>
    <row r="33" customFormat="false" ht="15" hidden="false" customHeight="false" outlineLevel="0" collapsed="false">
      <c r="A33" s="13" t="n">
        <v>18</v>
      </c>
      <c r="B33" s="6" t="n">
        <f aca="false">$B$5*(1+$B$6*A33)</f>
        <v>10400</v>
      </c>
      <c r="C33" s="6" t="n">
        <f aca="false">$B$5*(1+$B$6)^A33</f>
        <v>14271.6957645641</v>
      </c>
      <c r="D33" s="14" t="n">
        <f aca="false">C33-C32</f>
        <v>807.831835730047</v>
      </c>
      <c r="E33" s="6" t="n">
        <f aca="false">C33-B33</f>
        <v>3871.69576456411</v>
      </c>
      <c r="H33" s="3" t="s">
        <v>64</v>
      </c>
    </row>
    <row r="34" customFormat="false" ht="15" hidden="false" customHeight="true" outlineLevel="0" collapsed="false">
      <c r="A34" s="13" t="n">
        <v>19</v>
      </c>
      <c r="B34" s="6" t="n">
        <f aca="false">$B$5*(1+$B$6*A34)</f>
        <v>10700</v>
      </c>
      <c r="C34" s="6" t="n">
        <f aca="false">$B$5*(1+$B$6)^A34</f>
        <v>15127.997510438</v>
      </c>
      <c r="D34" s="14" t="n">
        <f aca="false">C34-C33</f>
        <v>856.301745873847</v>
      </c>
      <c r="E34" s="6" t="n">
        <f aca="false">C34-B34</f>
        <v>4427.99751043796</v>
      </c>
      <c r="H34" s="10" t="s">
        <v>65</v>
      </c>
      <c r="I34" s="10"/>
      <c r="J34" s="10"/>
      <c r="K34" s="10"/>
      <c r="L34" s="10"/>
      <c r="M34" s="10"/>
      <c r="N34" s="10"/>
      <c r="O34" s="10"/>
      <c r="P34" s="10"/>
      <c r="Q34" s="10"/>
    </row>
    <row r="35" customFormat="false" ht="15" hidden="false" customHeight="false" outlineLevel="0" collapsed="false">
      <c r="A35" s="13" t="n">
        <v>20</v>
      </c>
      <c r="B35" s="6" t="n">
        <f aca="false">$B$5*(1+$B$6*A35)</f>
        <v>11000</v>
      </c>
      <c r="C35" s="6" t="n">
        <f aca="false">$B$5*(1+$B$6)^A35</f>
        <v>16035.6773610642</v>
      </c>
      <c r="D35" s="14" t="n">
        <f aca="false">C35-C34</f>
        <v>907.679850626279</v>
      </c>
      <c r="E35" s="6" t="n">
        <f aca="false">C35-B35</f>
        <v>5035.67736106424</v>
      </c>
      <c r="H35" s="10"/>
      <c r="I35" s="10"/>
      <c r="J35" s="10"/>
      <c r="K35" s="10"/>
      <c r="L35" s="10"/>
      <c r="M35" s="10"/>
      <c r="N35" s="10"/>
      <c r="O35" s="10"/>
      <c r="P35" s="10"/>
      <c r="Q35" s="10"/>
    </row>
    <row r="36" customFormat="false" ht="15" hidden="false" customHeight="true" outlineLevel="0" collapsed="false">
      <c r="H36" s="10" t="s">
        <v>66</v>
      </c>
      <c r="I36" s="10"/>
      <c r="J36" s="10"/>
      <c r="K36" s="10"/>
      <c r="L36" s="10"/>
      <c r="M36" s="10"/>
      <c r="N36" s="10"/>
      <c r="O36" s="10"/>
      <c r="P36" s="10"/>
      <c r="Q36" s="10"/>
    </row>
    <row r="37" customFormat="false" ht="15" hidden="false" customHeight="true" outlineLevel="0" collapsed="false">
      <c r="H37" s="10" t="s">
        <v>67</v>
      </c>
      <c r="I37" s="10"/>
      <c r="J37" s="10"/>
      <c r="K37" s="10"/>
      <c r="L37" s="10"/>
      <c r="M37" s="10"/>
      <c r="N37" s="10"/>
      <c r="O37" s="10"/>
      <c r="P37" s="10"/>
      <c r="Q37" s="10"/>
    </row>
    <row r="38" customFormat="false" ht="15" hidden="false" customHeight="true" outlineLevel="0" collapsed="false">
      <c r="H38" s="10" t="s">
        <v>68</v>
      </c>
      <c r="I38" s="10"/>
      <c r="J38" s="10"/>
      <c r="K38" s="10"/>
      <c r="L38" s="10"/>
      <c r="M38" s="10"/>
      <c r="N38" s="10"/>
      <c r="O38" s="10"/>
      <c r="P38" s="10"/>
      <c r="Q38" s="10"/>
    </row>
  </sheetData>
  <mergeCells count="11">
    <mergeCell ref="A1:Q1"/>
    <mergeCell ref="A2:Q2"/>
    <mergeCell ref="H5:Q6"/>
    <mergeCell ref="H7:Q7"/>
    <mergeCell ref="H8:Q9"/>
    <mergeCell ref="H10:Q10"/>
    <mergeCell ref="H11:Q12"/>
    <mergeCell ref="H34:Q35"/>
    <mergeCell ref="H36:Q36"/>
    <mergeCell ref="H37:Q37"/>
    <mergeCell ref="H38:Q38"/>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6" min="2" style="0" width="17"/>
    <col collapsed="false" customWidth="true" hidden="false" outlineLevel="0" max="7" min="7" style="0" width="3"/>
    <col collapsed="false" customWidth="true" hidden="false" outlineLevel="0" max="17" min="8" style="0" width="11"/>
  </cols>
  <sheetData>
    <row r="1" customFormat="false" ht="31.5" hidden="false" customHeight="true" outlineLevel="0" collapsed="false">
      <c r="A1" s="1" t="s">
        <v>69</v>
      </c>
      <c r="B1" s="1"/>
      <c r="C1" s="1"/>
      <c r="D1" s="1"/>
      <c r="E1" s="1"/>
      <c r="F1" s="1"/>
      <c r="G1" s="1"/>
      <c r="H1" s="1"/>
      <c r="I1" s="1"/>
      <c r="J1" s="1"/>
      <c r="K1" s="1"/>
      <c r="L1" s="1"/>
      <c r="M1" s="1"/>
      <c r="N1" s="1"/>
      <c r="O1" s="1"/>
      <c r="P1" s="1"/>
      <c r="Q1" s="1"/>
    </row>
    <row r="2" customFormat="false" ht="31.5" hidden="false" customHeight="true" outlineLevel="0" collapsed="false">
      <c r="A2" s="2" t="s">
        <v>70</v>
      </c>
      <c r="B2" s="2"/>
      <c r="C2" s="2"/>
      <c r="D2" s="2"/>
      <c r="E2" s="2"/>
      <c r="F2" s="2"/>
      <c r="G2" s="2"/>
      <c r="H2" s="2"/>
      <c r="I2" s="2"/>
      <c r="J2" s="2"/>
      <c r="K2" s="2"/>
      <c r="L2" s="2"/>
      <c r="M2" s="2"/>
      <c r="N2" s="2"/>
      <c r="O2" s="2"/>
      <c r="P2" s="2"/>
      <c r="Q2" s="2"/>
    </row>
    <row r="4" customFormat="false" ht="15" hidden="false" customHeight="false" outlineLevel="0" collapsed="false">
      <c r="A4" s="3" t="s">
        <v>44</v>
      </c>
      <c r="H4" s="3" t="s">
        <v>45</v>
      </c>
    </row>
    <row r="5" customFormat="false" ht="15" hidden="false" customHeight="true" outlineLevel="0" collapsed="false">
      <c r="A5" s="4" t="s">
        <v>46</v>
      </c>
      <c r="B5" s="5" t="n">
        <v>10000</v>
      </c>
      <c r="H5" s="10" t="s">
        <v>71</v>
      </c>
      <c r="I5" s="10"/>
      <c r="J5" s="10"/>
      <c r="K5" s="10"/>
      <c r="L5" s="10"/>
      <c r="M5" s="10"/>
      <c r="N5" s="10"/>
      <c r="O5" s="10"/>
      <c r="P5" s="10"/>
      <c r="Q5" s="10"/>
    </row>
    <row r="6" customFormat="false" ht="15" hidden="false" customHeight="true" outlineLevel="0" collapsed="false">
      <c r="A6" s="4" t="s">
        <v>72</v>
      </c>
      <c r="B6" s="15" t="n">
        <v>12</v>
      </c>
      <c r="H6" s="12" t="s">
        <v>73</v>
      </c>
      <c r="I6" s="12"/>
      <c r="J6" s="12"/>
      <c r="K6" s="12"/>
      <c r="L6" s="12"/>
      <c r="M6" s="12"/>
      <c r="N6" s="12"/>
      <c r="O6" s="12"/>
      <c r="P6" s="12"/>
      <c r="Q6" s="12"/>
    </row>
    <row r="7" customFormat="false" ht="15" hidden="false" customHeight="true" outlineLevel="0" collapsed="false">
      <c r="H7" s="10" t="s">
        <v>74</v>
      </c>
      <c r="I7" s="10"/>
      <c r="J7" s="10"/>
      <c r="K7" s="10"/>
      <c r="L7" s="10"/>
      <c r="M7" s="10"/>
      <c r="N7" s="10"/>
      <c r="O7" s="10"/>
      <c r="P7" s="10"/>
      <c r="Q7" s="10"/>
    </row>
    <row r="8" customFormat="false" ht="15" hidden="false" customHeight="false" outlineLevel="0" collapsed="false">
      <c r="A8" s="9" t="s">
        <v>48</v>
      </c>
      <c r="B8" s="11" t="n">
        <v>0.02</v>
      </c>
      <c r="C8" s="11" t="n">
        <v>0.04</v>
      </c>
      <c r="D8" s="11" t="n">
        <v>0.06</v>
      </c>
      <c r="E8" s="11" t="n">
        <v>0.08</v>
      </c>
      <c r="H8" s="10"/>
      <c r="I8" s="10"/>
      <c r="J8" s="10"/>
      <c r="K8" s="10"/>
      <c r="L8" s="10"/>
      <c r="M8" s="10"/>
      <c r="N8" s="10"/>
      <c r="O8" s="10"/>
      <c r="P8" s="10"/>
      <c r="Q8" s="10"/>
    </row>
    <row r="9" customFormat="false" ht="15" hidden="false" customHeight="true" outlineLevel="0" collapsed="false">
      <c r="A9" s="4" t="s">
        <v>75</v>
      </c>
      <c r="B9" s="6" t="n">
        <f aca="false">B44</f>
        <v>18212.0897923667</v>
      </c>
      <c r="C9" s="6" t="n">
        <f aca="false">C44</f>
        <v>33134.9801460694</v>
      </c>
      <c r="D9" s="6" t="n">
        <f aca="false">D44</f>
        <v>60225.7521226299</v>
      </c>
      <c r="E9" s="6" t="n">
        <f aca="false">E44</f>
        <v>109357.296577556</v>
      </c>
      <c r="H9" s="10" t="s">
        <v>76</v>
      </c>
      <c r="I9" s="10"/>
      <c r="J9" s="10"/>
      <c r="K9" s="10"/>
      <c r="L9" s="10"/>
      <c r="M9" s="10"/>
      <c r="N9" s="10"/>
      <c r="O9" s="10"/>
      <c r="P9" s="10"/>
      <c r="Q9" s="10"/>
    </row>
    <row r="10" customFormat="false" ht="15" hidden="false" customHeight="false" outlineLevel="0" collapsed="false">
      <c r="A10" s="4" t="s">
        <v>77</v>
      </c>
      <c r="B10" s="6" t="n">
        <f aca="false">B9-$B$5</f>
        <v>8212.08979236674</v>
      </c>
      <c r="C10" s="6" t="n">
        <f aca="false">C9-$B$5</f>
        <v>23134.9801460694</v>
      </c>
      <c r="D10" s="6" t="n">
        <f aca="false">D9-$B$5</f>
        <v>50225.7521226299</v>
      </c>
      <c r="E10" s="6" t="n">
        <f aca="false">E9-$B$5</f>
        <v>99357.2965775557</v>
      </c>
    </row>
    <row r="11" customFormat="false" ht="15" hidden="false" customHeight="false" outlineLevel="0" collapsed="false">
      <c r="A11" s="4" t="s">
        <v>78</v>
      </c>
      <c r="B11" s="13" t="str">
        <f aca="false">IF(B44&gt;=2*$B$5,COUNTIF(B14:B44,"&lt;"&amp;2*$B$5),"More than 30")</f>
        <v>More than 30</v>
      </c>
      <c r="C11" s="13" t="n">
        <f aca="false">IF(C44&gt;=2*$B$5,COUNTIF(C14:C44,"&lt;"&amp;2*$B$5),"More than 30")</f>
        <v>18</v>
      </c>
      <c r="D11" s="13" t="n">
        <f aca="false">IF(D44&gt;=2*$B$5,COUNTIF(D14:D44,"&lt;"&amp;2*$B$5),"More than 30")</f>
        <v>12</v>
      </c>
      <c r="E11" s="13" t="n">
        <f aca="false">IF(E44&gt;=2*$B$5,COUNTIF(E14:E44,"&lt;"&amp;2*$B$5),"More than 30")</f>
        <v>9</v>
      </c>
    </row>
    <row r="13" customFormat="false" ht="19.5" hidden="false" customHeight="true" outlineLevel="0" collapsed="false">
      <c r="A13" s="7" t="s">
        <v>58</v>
      </c>
      <c r="B13" s="7" t="str">
        <f aca="false">TEXT(B8,"0.0%")&amp;" p.a."</f>
        <v>2.0% p.a.</v>
      </c>
      <c r="C13" s="7" t="str">
        <f aca="false">TEXT(C8,"0.0%")&amp;" p.a."</f>
        <v>4.0% p.a.</v>
      </c>
      <c r="D13" s="7" t="str">
        <f aca="false">TEXT(D8,"0.0%")&amp;" p.a."</f>
        <v>6.0% p.a.</v>
      </c>
      <c r="E13" s="7" t="str">
        <f aca="false">TEXT(E8,"0.0%")&amp;" p.a."</f>
        <v>8.0% p.a.</v>
      </c>
    </row>
    <row r="14" customFormat="false" ht="15" hidden="false" customHeight="false" outlineLevel="0" collapsed="false">
      <c r="A14" s="13" t="n">
        <v>0</v>
      </c>
      <c r="B14" s="6" t="n">
        <f aca="false">$B$5*(1+B$8/$B$6)^($B$6*$A14)</f>
        <v>10000</v>
      </c>
      <c r="C14" s="6" t="n">
        <f aca="false">$B$5*(1+C$8/$B$6)^($B$6*$A14)</f>
        <v>10000</v>
      </c>
      <c r="D14" s="6" t="n">
        <f aca="false">$B$5*(1+D$8/$B$6)^($B$6*$A14)</f>
        <v>10000</v>
      </c>
      <c r="E14" s="6" t="n">
        <f aca="false">$B$5*(1+E$8/$B$6)^($B$6*$A14)</f>
        <v>10000</v>
      </c>
    </row>
    <row r="15" customFormat="false" ht="15" hidden="false" customHeight="false" outlineLevel="0" collapsed="false">
      <c r="A15" s="13" t="n">
        <v>1</v>
      </c>
      <c r="B15" s="6" t="n">
        <f aca="false">$B$5*(1+B$8/$B$6)^($B$6*$A15)</f>
        <v>10201.843556815</v>
      </c>
      <c r="C15" s="6" t="n">
        <f aca="false">$B$5*(1+C$8/$B$6)^($B$6*$A15)</f>
        <v>10407.4154291979</v>
      </c>
      <c r="D15" s="6" t="n">
        <f aca="false">$B$5*(1+D$8/$B$6)^($B$6*$A15)</f>
        <v>10616.778118645</v>
      </c>
      <c r="E15" s="6" t="n">
        <f aca="false">$B$5*(1+E$8/$B$6)^($B$6*$A15)</f>
        <v>10829.9950680751</v>
      </c>
    </row>
    <row r="16" customFormat="false" ht="15" hidden="false" customHeight="false" outlineLevel="0" collapsed="false">
      <c r="A16" s="13" t="n">
        <v>2</v>
      </c>
      <c r="B16" s="6" t="n">
        <f aca="false">$B$5*(1+B$8/$B$6)^($B$6*$A16)</f>
        <v>10407.7611957728</v>
      </c>
      <c r="C16" s="6" t="n">
        <f aca="false">$B$5*(1+C$8/$B$6)^($B$6*$A16)</f>
        <v>10831.4295915907</v>
      </c>
      <c r="D16" s="6" t="n">
        <f aca="false">$B$5*(1+D$8/$B$6)^($B$6*$A16)</f>
        <v>11271.5977620539</v>
      </c>
      <c r="E16" s="6" t="n">
        <f aca="false">$B$5*(1+E$8/$B$6)^($B$6*$A16)</f>
        <v>11728.8793174531</v>
      </c>
    </row>
    <row r="17" customFormat="false" ht="15" hidden="false" customHeight="false" outlineLevel="0" collapsed="false">
      <c r="A17" s="13" t="n">
        <v>3</v>
      </c>
      <c r="B17" s="6" t="n">
        <f aca="false">$B$5*(1+B$8/$B$6)^($B$6*$A17)</f>
        <v>10617.8351495964</v>
      </c>
      <c r="C17" s="6" t="n">
        <f aca="false">$B$5*(1+C$8/$B$6)^($B$6*$A17)</f>
        <v>11272.7187451791</v>
      </c>
      <c r="D17" s="6" t="n">
        <f aca="false">$B$5*(1+D$8/$B$6)^($B$6*$A17)</f>
        <v>11966.8052482341</v>
      </c>
      <c r="E17" s="6" t="n">
        <f aca="false">$B$5*(1+E$8/$B$6)^($B$6*$A17)</f>
        <v>12702.3705162065</v>
      </c>
    </row>
    <row r="18" customFormat="false" ht="15" hidden="false" customHeight="false" outlineLevel="0" collapsed="false">
      <c r="A18" s="13" t="n">
        <v>4</v>
      </c>
      <c r="B18" s="6" t="n">
        <f aca="false">$B$5*(1+B$8/$B$6)^($B$6*$A18)</f>
        <v>10832.1493108234</v>
      </c>
      <c r="C18" s="6" t="n">
        <f aca="false">$B$5*(1+C$8/$B$6)^($B$6*$A18)</f>
        <v>11731.9866997586</v>
      </c>
      <c r="D18" s="6" t="n">
        <f aca="false">$B$5*(1+D$8/$B$6)^($B$6*$A18)</f>
        <v>12704.8916109538</v>
      </c>
      <c r="E18" s="6" t="n">
        <f aca="false">$B$5*(1+E$8/$B$6)^($B$6*$A18)</f>
        <v>13756.6610043379</v>
      </c>
    </row>
    <row r="19" customFormat="false" ht="15" hidden="false" customHeight="false" outlineLevel="0" collapsed="false">
      <c r="A19" s="13" t="n">
        <v>5</v>
      </c>
      <c r="B19" s="6" t="n">
        <f aca="false">$B$5*(1+B$8/$B$6)^($B$6*$A19)</f>
        <v>11050.7892653082</v>
      </c>
      <c r="C19" s="6" t="n">
        <f aca="false">$B$5*(1+C$8/$B$6)^($B$6*$A19)</f>
        <v>12209.9659394212</v>
      </c>
      <c r="D19" s="6" t="n">
        <f aca="false">$B$5*(1+D$8/$B$6)^($B$6*$A19)</f>
        <v>13488.5015254931</v>
      </c>
      <c r="E19" s="6" t="n">
        <f aca="false">$B$5*(1+E$8/$B$6)^($B$6*$A19)</f>
        <v>14898.4570830161</v>
      </c>
    </row>
    <row r="20" customFormat="false" ht="15" hidden="false" customHeight="false" outlineLevel="0" collapsed="false">
      <c r="A20" s="13" t="n">
        <v>6</v>
      </c>
      <c r="B20" s="6" t="n">
        <f aca="false">$B$5*(1+B$8/$B$6)^($B$6*$A20)</f>
        <v>11273.8423264005</v>
      </c>
      <c r="C20" s="6" t="n">
        <f aca="false">$B$5*(1+C$8/$B$6)^($B$6*$A20)</f>
        <v>12707.4187907913</v>
      </c>
      <c r="D20" s="6" t="n">
        <f aca="false">$B$5*(1+D$8/$B$6)^($B$6*$A20)</f>
        <v>14320.4427849164</v>
      </c>
      <c r="E20" s="6" t="n">
        <f aca="false">$B$5*(1+E$8/$B$6)^($B$6*$A20)</f>
        <v>16135.0216730992</v>
      </c>
    </row>
    <row r="21" customFormat="false" ht="15" hidden="false" customHeight="false" outlineLevel="0" collapsed="false">
      <c r="A21" s="13" t="n">
        <v>7</v>
      </c>
      <c r="B21" s="6" t="n">
        <f aca="false">$B$5*(1+B$8/$B$6)^($B$6*$A21)</f>
        <v>11501.3975698138</v>
      </c>
      <c r="C21" s="6" t="n">
        <f aca="false">$B$5*(1+C$8/$B$6)^($B$6*$A21)</f>
        <v>13225.1386388561</v>
      </c>
      <c r="D21" s="6" t="n">
        <f aca="false">$B$5*(1+D$8/$B$6)^($B$6*$A21)</f>
        <v>15203.6963608208</v>
      </c>
      <c r="E21" s="6" t="n">
        <f aca="false">$B$5*(1+E$8/$B$6)^($B$6*$A21)</f>
        <v>17474.220514295</v>
      </c>
    </row>
    <row r="22" customFormat="false" ht="15" hidden="false" customHeight="false" outlineLevel="0" collapsed="false">
      <c r="A22" s="13" t="n">
        <v>8</v>
      </c>
      <c r="B22" s="6" t="n">
        <f aca="false">$B$5*(1+B$8/$B$6)^($B$6*$A22)</f>
        <v>11733.5458691972</v>
      </c>
      <c r="C22" s="6" t="n">
        <f aca="false">$B$5*(1+C$8/$B$6)^($B$6*$A22)</f>
        <v>13763.9511923312</v>
      </c>
      <c r="D22" s="6" t="n">
        <f aca="false">$B$5*(1+D$8/$B$6)^($B$6*$A22)</f>
        <v>16141.4270846085</v>
      </c>
      <c r="E22" s="6" t="n">
        <f aca="false">$B$5*(1+E$8/$B$6)^($B$6*$A22)</f>
        <v>18924.5721988271</v>
      </c>
    </row>
    <row r="23" customFormat="false" ht="15" hidden="false" customHeight="false" outlineLevel="0" collapsed="false">
      <c r="A23" s="13" t="n">
        <v>9</v>
      </c>
      <c r="B23" s="6" t="n">
        <f aca="false">$B$5*(1+B$8/$B$6)^($B$6*$A23)</f>
        <v>11970.3799324263</v>
      </c>
      <c r="C23" s="6" t="n">
        <f aca="false">$B$5*(1+C$8/$B$6)^($B$6*$A23)</f>
        <v>14324.7158005795</v>
      </c>
      <c r="D23" s="6" t="n">
        <f aca="false">$B$5*(1+D$8/$B$6)^($B$6*$A23)</f>
        <v>17136.9949875575</v>
      </c>
      <c r="E23" s="6" t="n">
        <f aca="false">$B$5*(1+E$8/$B$6)^($B$6*$A23)</f>
        <v>20495.3023578729</v>
      </c>
    </row>
    <row r="24" customFormat="false" ht="15" hidden="false" customHeight="false" outlineLevel="0" collapsed="false">
      <c r="A24" s="13" t="n">
        <v>10</v>
      </c>
      <c r="B24" s="6" t="n">
        <f aca="false">$B$5*(1+B$8/$B$6)^($B$6*$A24)</f>
        <v>12211.9943386251</v>
      </c>
      <c r="C24" s="6" t="n">
        <f aca="false">$B$5*(1+C$8/$B$6)^($B$6*$A24)</f>
        <v>14908.3268241826</v>
      </c>
      <c r="D24" s="6" t="n">
        <f aca="false">$B$5*(1+D$8/$B$6)^($B$6*$A24)</f>
        <v>18193.9673403229</v>
      </c>
      <c r="E24" s="6" t="n">
        <f aca="false">$B$5*(1+E$8/$B$6)^($B$6*$A24)</f>
        <v>22196.4023454471</v>
      </c>
    </row>
    <row r="25" customFormat="false" ht="15" hidden="false" customHeight="false" outlineLevel="0" collapsed="false">
      <c r="A25" s="13" t="n">
        <v>11</v>
      </c>
      <c r="B25" s="6" t="n">
        <f aca="false">$B$5*(1+B$8/$B$6)^($B$6*$A25)</f>
        <v>12458.4855759364</v>
      </c>
      <c r="C25" s="6" t="n">
        <f aca="false">$B$5*(1+C$8/$B$6)^($B$6*$A25)</f>
        <v>15515.7150613523</v>
      </c>
      <c r="D25" s="6" t="n">
        <f aca="false">$B$5*(1+D$8/$B$6)^($B$6*$A25)</f>
        <v>19316.1314350082</v>
      </c>
      <c r="E25" s="6" t="n">
        <f aca="false">$B$5*(1+E$8/$B$6)^($B$6*$A25)</f>
        <v>24038.6927930203</v>
      </c>
    </row>
    <row r="26" customFormat="false" ht="15" hidden="false" customHeight="false" outlineLevel="0" collapsed="false">
      <c r="A26" s="13" t="n">
        <v>12</v>
      </c>
      <c r="B26" s="6" t="n">
        <f aca="false">$B$5*(1+B$8/$B$6)^($B$6*$A26)</f>
        <v>12709.952080054</v>
      </c>
      <c r="C26" s="6" t="n">
        <f aca="false">$B$5*(1+C$8/$B$6)^($B$6*$A26)</f>
        <v>16147.8492324556</v>
      </c>
      <c r="D26" s="6" t="n">
        <f aca="false">$B$5*(1+D$8/$B$6)^($B$6*$A26)</f>
        <v>20507.5081556065</v>
      </c>
      <c r="E26" s="6" t="n">
        <f aca="false">$B$5*(1+E$8/$B$6)^($B$6*$A26)</f>
        <v>26033.8924391382</v>
      </c>
    </row>
    <row r="27" customFormat="false" ht="15" hidden="false" customHeight="false" outlineLevel="0" collapsed="false">
      <c r="A27" s="13" t="n">
        <v>13</v>
      </c>
      <c r="B27" s="6" t="n">
        <f aca="false">$B$5*(1+B$8/$B$6)^($B$6*$A27)</f>
        <v>12966.4942735327</v>
      </c>
      <c r="C27" s="6" t="n">
        <f aca="false">$B$5*(1+C$8/$B$6)^($B$6*$A27)</f>
        <v>16805.7375250221</v>
      </c>
      <c r="D27" s="6" t="n">
        <f aca="false">$B$5*(1+D$8/$B$6)^($B$6*$A27)</f>
        <v>21772.3663854377</v>
      </c>
      <c r="E27" s="6" t="n">
        <f aca="false">$B$5*(1+E$8/$B$6)^($B$6*$A27)</f>
        <v>28194.6926718664</v>
      </c>
    </row>
    <row r="28" customFormat="false" ht="15" hidden="false" customHeight="false" outlineLevel="0" collapsed="false">
      <c r="A28" s="13" t="n">
        <v>14</v>
      </c>
      <c r="B28" s="6" t="n">
        <f aca="false">$B$5*(1+B$8/$B$6)^($B$6*$A28)</f>
        <v>13228.2146058918</v>
      </c>
      <c r="C28" s="6" t="n">
        <f aca="false">$B$5*(1+C$8/$B$6)^($B$6*$A28)</f>
        <v>17490.4292016965</v>
      </c>
      <c r="D28" s="6" t="n">
        <f aca="false">$B$5*(1+D$8/$B$6)^($B$6*$A28)</f>
        <v>23115.2383032036</v>
      </c>
      <c r="E28" s="6" t="n">
        <f aca="false">$B$5*(1+E$8/$B$6)^($B$6*$A28)</f>
        <v>30534.8382582207</v>
      </c>
    </row>
    <row r="29" customFormat="false" ht="15" hidden="false" customHeight="false" outlineLevel="0" collapsed="false">
      <c r="A29" s="13" t="n">
        <v>15</v>
      </c>
      <c r="B29" s="6" t="n">
        <f aca="false">$B$5*(1+B$8/$B$6)^($B$6*$A29)</f>
        <v>13495.2175945283</v>
      </c>
      <c r="C29" s="6" t="n">
        <f aca="false">$B$5*(1+C$8/$B$6)^($B$6*$A29)</f>
        <v>18203.0162737029</v>
      </c>
      <c r="D29" s="6" t="n">
        <f aca="false">$B$5*(1+D$8/$B$6)^($B$6*$A29)</f>
        <v>24540.9356224717</v>
      </c>
      <c r="E29" s="6" t="n">
        <f aca="false">$B$5*(1+E$8/$B$6)^($B$6*$A29)</f>
        <v>33069.2147741001</v>
      </c>
    </row>
    <row r="30" customFormat="false" ht="15" hidden="false" customHeight="false" outlineLevel="0" collapsed="false">
      <c r="A30" s="13" t="n">
        <v>16</v>
      </c>
      <c r="B30" s="6" t="n">
        <f aca="false">$B$5*(1+B$8/$B$6)^($B$6*$A30)</f>
        <v>13767.6098664556</v>
      </c>
      <c r="C30" s="6" t="n">
        <f aca="false">$B$5*(1+C$8/$B$6)^($B$6*$A30)</f>
        <v>18944.6352424877</v>
      </c>
      <c r="D30" s="6" t="n">
        <f aca="false">$B$5*(1+D$8/$B$6)^($B$6*$A30)</f>
        <v>26054.5668327732</v>
      </c>
      <c r="E30" s="6" t="n">
        <f aca="false">$B$5*(1+E$8/$B$6)^($B$6*$A30)</f>
        <v>35813.943290862</v>
      </c>
      <c r="H30" s="3" t="s">
        <v>64</v>
      </c>
    </row>
    <row r="31" customFormat="false" ht="15" hidden="false" customHeight="true" outlineLevel="0" collapsed="false">
      <c r="A31" s="13" t="n">
        <v>17</v>
      </c>
      <c r="B31" s="6" t="n">
        <f aca="false">$B$5*(1+B$8/$B$6)^($B$6*$A31)</f>
        <v>14045.5002008843</v>
      </c>
      <c r="C31" s="6" t="n">
        <f aca="false">$B$5*(1+C$8/$B$6)^($B$6*$A31)</f>
        <v>19716.4689123193</v>
      </c>
      <c r="D31" s="6" t="n">
        <f aca="false">$B$5*(1+D$8/$B$6)^($B$6*$A31)</f>
        <v>27661.555504096</v>
      </c>
      <c r="E31" s="6" t="n">
        <f aca="false">$B$5*(1+E$8/$B$6)^($B$6*$A31)</f>
        <v>38786.4829208357</v>
      </c>
      <c r="H31" s="10" t="s">
        <v>79</v>
      </c>
      <c r="I31" s="10"/>
      <c r="J31" s="10"/>
      <c r="K31" s="10"/>
      <c r="L31" s="10"/>
      <c r="M31" s="10"/>
      <c r="N31" s="10"/>
      <c r="O31" s="10"/>
      <c r="P31" s="10"/>
      <c r="Q31" s="10"/>
    </row>
    <row r="32" customFormat="false" ht="15" hidden="false" customHeight="false" outlineLevel="0" collapsed="false">
      <c r="A32" s="13" t="n">
        <v>18</v>
      </c>
      <c r="B32" s="6" t="n">
        <f aca="false">$B$5*(1+B$8/$B$6)^($B$6*$A32)</f>
        <v>14328.9995726635</v>
      </c>
      <c r="C32" s="6" t="n">
        <f aca="false">$B$5*(1+C$8/$B$6)^($B$6*$A32)</f>
        <v>20519.7482767372</v>
      </c>
      <c r="D32" s="6" t="n">
        <f aca="false">$B$5*(1+D$8/$B$6)^($B$6*$A32)</f>
        <v>29367.659720357</v>
      </c>
      <c r="E32" s="6" t="n">
        <f aca="false">$B$5*(1+E$8/$B$6)^($B$6*$A32)</f>
        <v>42005.7418740629</v>
      </c>
      <c r="H32" s="10"/>
      <c r="I32" s="10"/>
      <c r="J32" s="10"/>
      <c r="K32" s="10"/>
      <c r="L32" s="10"/>
      <c r="M32" s="10"/>
      <c r="N32" s="10"/>
      <c r="O32" s="10"/>
      <c r="P32" s="10"/>
      <c r="Q32" s="10"/>
    </row>
    <row r="33" customFormat="false" ht="15" hidden="false" customHeight="true" outlineLevel="0" collapsed="false">
      <c r="A33" s="13" t="n">
        <v>19</v>
      </c>
      <c r="B33" s="6" t="n">
        <f aca="false">$B$5*(1+B$8/$B$6)^($B$6*$A33)</f>
        <v>14618.2211965982</v>
      </c>
      <c r="C33" s="6" t="n">
        <f aca="false">$B$5*(1+C$8/$B$6)^($B$6*$A33)</f>
        <v>21355.7544818572</v>
      </c>
      <c r="D33" s="6" t="n">
        <f aca="false">$B$5*(1+D$8/$B$6)^($B$6*$A33)</f>
        <v>31178.9927114898</v>
      </c>
      <c r="E33" s="6" t="n">
        <f aca="false">$B$5*(1+E$8/$B$6)^($B$6*$A33)</f>
        <v>45492.1977326937</v>
      </c>
      <c r="H33" s="10" t="s">
        <v>80</v>
      </c>
      <c r="I33" s="10"/>
      <c r="J33" s="10"/>
      <c r="K33" s="10"/>
      <c r="L33" s="10"/>
      <c r="M33" s="10"/>
      <c r="N33" s="10"/>
      <c r="O33" s="10"/>
      <c r="P33" s="10"/>
      <c r="Q33" s="10"/>
    </row>
    <row r="34" customFormat="false" ht="15" hidden="false" customHeight="false" outlineLevel="0" collapsed="false">
      <c r="A34" s="13" t="n">
        <v>20</v>
      </c>
      <c r="B34" s="6" t="n">
        <f aca="false">$B$5*(1+B$8/$B$6)^($B$6*$A34)</f>
        <v>14913.2805726612</v>
      </c>
      <c r="C34" s="6" t="n">
        <f aca="false">$B$5*(1+C$8/$B$6)^($B$6*$A34)</f>
        <v>22225.8208696643</v>
      </c>
      <c r="D34" s="6" t="n">
        <f aca="false">$B$5*(1+D$8/$B$6)^($B$6*$A34)</f>
        <v>33102.0447580736</v>
      </c>
      <c r="E34" s="6" t="n">
        <f aca="false">$B$5*(1+E$8/$B$6)^($B$6*$A34)</f>
        <v>49268.027708097</v>
      </c>
      <c r="H34" s="10"/>
      <c r="I34" s="10"/>
      <c r="J34" s="10"/>
      <c r="K34" s="10"/>
      <c r="L34" s="10"/>
      <c r="M34" s="10"/>
      <c r="N34" s="10"/>
      <c r="O34" s="10"/>
      <c r="P34" s="10"/>
      <c r="Q34" s="10"/>
    </row>
    <row r="35" customFormat="false" ht="15" hidden="false" customHeight="true" outlineLevel="0" collapsed="false">
      <c r="A35" s="13" t="n">
        <v>21</v>
      </c>
      <c r="B35" s="6" t="n">
        <f aca="false">$B$5*(1+B$8/$B$6)^($B$6*$A35)</f>
        <v>15214.2955321179</v>
      </c>
      <c r="C35" s="6" t="n">
        <f aca="false">$B$5*(1+C$8/$B$6)^($B$6*$A35)</f>
        <v>23131.3351045533</v>
      </c>
      <c r="D35" s="6" t="n">
        <f aca="false">$B$5*(1+D$8/$B$6)^($B$6*$A35)</f>
        <v>35143.7064469923</v>
      </c>
      <c r="E35" s="6" t="n">
        <f aca="false">$B$5*(1+E$8/$B$6)^($B$6*$A35)</f>
        <v>53357.2497092478</v>
      </c>
      <c r="H35" s="10" t="s">
        <v>81</v>
      </c>
      <c r="I35" s="10"/>
      <c r="J35" s="10"/>
      <c r="K35" s="10"/>
      <c r="L35" s="10"/>
      <c r="M35" s="10"/>
      <c r="N35" s="10"/>
      <c r="O35" s="10"/>
      <c r="P35" s="10"/>
      <c r="Q35" s="10"/>
    </row>
    <row r="36" customFormat="false" ht="15" hidden="false" customHeight="false" outlineLevel="0" collapsed="false">
      <c r="A36" s="13" t="n">
        <v>22</v>
      </c>
      <c r="B36" s="6" t="n">
        <f aca="false">$B$5*(1+B$8/$B$6)^($B$6*$A36)</f>
        <v>15521.3862845816</v>
      </c>
      <c r="C36" s="6" t="n">
        <f aca="false">$B$5*(1+C$8/$B$6)^($B$6*$A36)</f>
        <v>24073.7413865075</v>
      </c>
      <c r="D36" s="6" t="n">
        <f aca="false">$B$5*(1+D$8/$B$6)^($B$6*$A36)</f>
        <v>37311.2933614511</v>
      </c>
      <c r="E36" s="6" t="n">
        <f aca="false">$B$5*(1+E$8/$B$6)^($B$6*$A36)</f>
        <v>57785.8751197205</v>
      </c>
      <c r="H36" s="10"/>
      <c r="I36" s="10"/>
      <c r="J36" s="10"/>
      <c r="K36" s="10"/>
      <c r="L36" s="10"/>
      <c r="M36" s="10"/>
      <c r="N36" s="10"/>
      <c r="O36" s="10"/>
      <c r="P36" s="10"/>
      <c r="Q36" s="10"/>
    </row>
    <row r="37" customFormat="false" ht="15" hidden="false" customHeight="false" outlineLevel="0" collapsed="false">
      <c r="A37" s="13" t="n">
        <v>23</v>
      </c>
      <c r="B37" s="6" t="n">
        <f aca="false">$B$5*(1+B$8/$B$6)^($B$6*$A37)</f>
        <v>15834.6754660196</v>
      </c>
      <c r="C37" s="6" t="n">
        <f aca="false">$B$5*(1+C$8/$B$6)^($B$6*$A37)</f>
        <v>25054.5427544459</v>
      </c>
      <c r="D37" s="6" t="n">
        <f aca="false">$B$5*(1+D$8/$B$6)^($B$6*$A37)</f>
        <v>39612.5722938197</v>
      </c>
      <c r="E37" s="6" t="n">
        <f aca="false">$B$5*(1+E$8/$B$6)^($B$6*$A37)</f>
        <v>62582.0742550977</v>
      </c>
    </row>
    <row r="38" customFormat="false" ht="15" hidden="false" customHeight="false" outlineLevel="0" collapsed="false">
      <c r="A38" s="13" t="n">
        <v>24</v>
      </c>
      <c r="B38" s="6" t="n">
        <f aca="false">$B$5*(1+B$8/$B$6)^($B$6*$A38)</f>
        <v>16154.2881877269</v>
      </c>
      <c r="C38" s="6" t="n">
        <f aca="false">$B$5*(1+C$8/$B$6)^($B$6*$A38)</f>
        <v>26075.3034834118</v>
      </c>
      <c r="D38" s="6" t="n">
        <f aca="false">$B$5*(1+D$8/$B$6)^($B$6*$A38)</f>
        <v>42055.7890752268</v>
      </c>
      <c r="E38" s="6" t="n">
        <f aca="false">$B$5*(1+E$8/$B$6)^($B$6*$A38)</f>
        <v>67776.3555532617</v>
      </c>
    </row>
    <row r="39" customFormat="false" ht="15" hidden="false" customHeight="false" outlineLevel="0" collapsed="false">
      <c r="A39" s="13" t="n">
        <v>25</v>
      </c>
      <c r="B39" s="6" t="n">
        <f aca="false">$B$5*(1+B$8/$B$6)^($B$6*$A39)</f>
        <v>16480.3520862895</v>
      </c>
      <c r="C39" s="6" t="n">
        <f aca="false">$B$5*(1+C$8/$B$6)^($B$6*$A39)</f>
        <v>27137.6515794278</v>
      </c>
      <c r="D39" s="6" t="n">
        <f aca="false">$B$5*(1+D$8/$B$6)^($B$6*$A39)</f>
        <v>44649.6981216216</v>
      </c>
      <c r="E39" s="6" t="n">
        <f aca="false">$B$5*(1+E$8/$B$6)^($B$6*$A39)</f>
        <v>73401.7596373929</v>
      </c>
    </row>
    <row r="40" customFormat="false" ht="15" hidden="false" customHeight="false" outlineLevel="0" collapsed="false">
      <c r="A40" s="13" t="n">
        <v>26</v>
      </c>
      <c r="B40" s="6" t="n">
        <f aca="false">$B$5*(1+B$8/$B$6)^($B$6*$A40)</f>
        <v>16812.9973745555</v>
      </c>
      <c r="C40" s="6" t="n">
        <f aca="false">$B$5*(1+C$8/$B$6)^($B$6*$A40)</f>
        <v>28243.2813759934</v>
      </c>
      <c r="D40" s="6" t="n">
        <f aca="false">$B$5*(1+D$8/$B$6)^($B$6*$A40)</f>
        <v>47403.5938021737</v>
      </c>
      <c r="E40" s="6" t="n">
        <f aca="false">$B$5*(1+E$8/$B$6)^($B$6*$A40)</f>
        <v>79494.0694860999</v>
      </c>
    </row>
    <row r="41" customFormat="false" ht="15" hidden="false" customHeight="false" outlineLevel="0" collapsed="false">
      <c r="A41" s="13" t="n">
        <v>27</v>
      </c>
      <c r="B41" s="6" t="n">
        <f aca="false">$B$5*(1+B$8/$B$6)^($B$6*$A41)</f>
        <v>17152.3568936357</v>
      </c>
      <c r="C41" s="6" t="n">
        <f aca="false">$B$5*(1+C$8/$B$6)^($B$6*$A41)</f>
        <v>29393.9562363692</v>
      </c>
      <c r="D41" s="6" t="n">
        <f aca="false">$B$5*(1+D$8/$B$6)^($B$6*$A41)</f>
        <v>50327.3437424052</v>
      </c>
      <c r="E41" s="6" t="n">
        <f aca="false">$B$5*(1+E$8/$B$6)^($B$6*$A41)</f>
        <v>86092.0380475681</v>
      </c>
    </row>
    <row r="42" customFormat="false" ht="15" hidden="false" customHeight="false" outlineLevel="0" collapsed="false">
      <c r="A42" s="13" t="n">
        <v>28</v>
      </c>
      <c r="B42" s="6" t="n">
        <f aca="false">$B$5*(1+B$8/$B$6)^($B$6*$A42)</f>
        <v>17498.5661659529</v>
      </c>
      <c r="C42" s="6" t="n">
        <f aca="false">$B$5*(1+C$8/$B$6)^($B$6*$A42)</f>
        <v>30591.5113659557</v>
      </c>
      <c r="D42" s="6" t="n">
        <f aca="false">$B$5*(1+D$8/$B$6)^($B$6*$A42)</f>
        <v>53431.4241813892</v>
      </c>
      <c r="E42" s="6" t="n">
        <f aca="false">$B$5*(1+E$8/$B$6)^($B$6*$A42)</f>
        <v>93237.6347455696</v>
      </c>
    </row>
    <row r="43" customFormat="false" ht="15" hidden="false" customHeight="false" outlineLevel="0" collapsed="false">
      <c r="A43" s="13" t="n">
        <v>29</v>
      </c>
      <c r="B43" s="6" t="n">
        <f aca="false">$B$5*(1+B$8/$B$6)^($B$6*$A43)</f>
        <v>17851.7634493628</v>
      </c>
      <c r="C43" s="6" t="n">
        <f aca="false">$B$5*(1+C$8/$B$6)^($B$6*$A43)</f>
        <v>31837.856739253</v>
      </c>
      <c r="D43" s="6" t="n">
        <f aca="false">$B$5*(1+D$8/$B$6)^($B$6*$A43)</f>
        <v>56726.9575097011</v>
      </c>
      <c r="E43" s="6" t="n">
        <f aca="false">$B$5*(1+E$8/$B$6)^($B$6*$A43)</f>
        <v>100976.312445351</v>
      </c>
    </row>
    <row r="44" customFormat="false" ht="15" hidden="false" customHeight="false" outlineLevel="0" collapsed="false">
      <c r="A44" s="13" t="n">
        <v>30</v>
      </c>
      <c r="B44" s="6" t="n">
        <f aca="false">$B$5*(1+B$8/$B$6)^($B$6*$A44)</f>
        <v>18212.0897923667</v>
      </c>
      <c r="C44" s="6" t="n">
        <f aca="false">$B$5*(1+C$8/$B$6)^($B$6*$A44)</f>
        <v>33134.9801460694</v>
      </c>
      <c r="D44" s="6" t="n">
        <f aca="false">$B$5*(1+D$8/$B$6)^($B$6*$A44)</f>
        <v>60225.7521226299</v>
      </c>
      <c r="E44" s="6" t="n">
        <f aca="false">$B$5*(1+E$8/$B$6)^($B$6*$A44)</f>
        <v>109357.296577556</v>
      </c>
    </row>
  </sheetData>
  <mergeCells count="9">
    <mergeCell ref="A1:Q1"/>
    <mergeCell ref="A2:Q2"/>
    <mergeCell ref="H5:Q5"/>
    <mergeCell ref="H6:Q6"/>
    <mergeCell ref="H7:Q8"/>
    <mergeCell ref="H9:Q9"/>
    <mergeCell ref="H31:Q32"/>
    <mergeCell ref="H33:Q34"/>
    <mergeCell ref="H35:Q36"/>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6" min="2" style="0" width="17"/>
    <col collapsed="false" customWidth="true" hidden="false" outlineLevel="0" max="7" min="7" style="0" width="3"/>
    <col collapsed="false" customWidth="true" hidden="false" outlineLevel="0" max="17" min="8" style="0" width="11"/>
  </cols>
  <sheetData>
    <row r="1" customFormat="false" ht="31.5" hidden="false" customHeight="true" outlineLevel="0" collapsed="false">
      <c r="A1" s="1" t="s">
        <v>82</v>
      </c>
      <c r="B1" s="1"/>
      <c r="C1" s="1"/>
      <c r="D1" s="1"/>
      <c r="E1" s="1"/>
      <c r="F1" s="1"/>
      <c r="G1" s="1"/>
      <c r="H1" s="1"/>
      <c r="I1" s="1"/>
      <c r="J1" s="1"/>
      <c r="K1" s="1"/>
      <c r="L1" s="1"/>
      <c r="M1" s="1"/>
      <c r="N1" s="1"/>
      <c r="O1" s="1"/>
      <c r="P1" s="1"/>
      <c r="Q1" s="1"/>
    </row>
    <row r="2" customFormat="false" ht="31.5" hidden="false" customHeight="true" outlineLevel="0" collapsed="false">
      <c r="A2" s="2" t="s">
        <v>83</v>
      </c>
      <c r="B2" s="2"/>
      <c r="C2" s="2"/>
      <c r="D2" s="2"/>
      <c r="E2" s="2"/>
      <c r="F2" s="2"/>
      <c r="G2" s="2"/>
      <c r="H2" s="2"/>
      <c r="I2" s="2"/>
      <c r="J2" s="2"/>
      <c r="K2" s="2"/>
      <c r="L2" s="2"/>
      <c r="M2" s="2"/>
      <c r="N2" s="2"/>
      <c r="O2" s="2"/>
      <c r="P2" s="2"/>
      <c r="Q2" s="2"/>
    </row>
    <row r="4" customFormat="false" ht="15" hidden="false" customHeight="false" outlineLevel="0" collapsed="false">
      <c r="A4" s="3" t="s">
        <v>44</v>
      </c>
      <c r="H4" s="3" t="s">
        <v>45</v>
      </c>
    </row>
    <row r="5" customFormat="false" ht="15" hidden="false" customHeight="true" outlineLevel="0" collapsed="false">
      <c r="A5" s="4" t="s">
        <v>46</v>
      </c>
      <c r="B5" s="5" t="n">
        <v>10000</v>
      </c>
      <c r="H5" s="10" t="s">
        <v>84</v>
      </c>
      <c r="I5" s="10"/>
      <c r="J5" s="10"/>
      <c r="K5" s="10"/>
      <c r="L5" s="10"/>
      <c r="M5" s="10"/>
      <c r="N5" s="10"/>
      <c r="O5" s="10"/>
      <c r="P5" s="10"/>
      <c r="Q5" s="10"/>
    </row>
    <row r="6" customFormat="false" ht="15" hidden="false" customHeight="false" outlineLevel="0" collapsed="false">
      <c r="A6" s="4" t="s">
        <v>48</v>
      </c>
      <c r="B6" s="11" t="n">
        <v>0.06</v>
      </c>
      <c r="H6" s="10"/>
      <c r="I6" s="10"/>
      <c r="J6" s="10"/>
      <c r="K6" s="10"/>
      <c r="L6" s="10"/>
      <c r="M6" s="10"/>
      <c r="N6" s="10"/>
      <c r="O6" s="10"/>
      <c r="P6" s="10"/>
      <c r="Q6" s="10"/>
    </row>
    <row r="7" customFormat="false" ht="15" hidden="false" customHeight="true" outlineLevel="0" collapsed="false">
      <c r="H7" s="12" t="s">
        <v>85</v>
      </c>
      <c r="I7" s="12"/>
      <c r="J7" s="12"/>
      <c r="K7" s="12"/>
      <c r="L7" s="12"/>
      <c r="M7" s="12"/>
      <c r="N7" s="12"/>
      <c r="O7" s="12"/>
      <c r="P7" s="12"/>
      <c r="Q7" s="12"/>
    </row>
    <row r="8" customFormat="false" ht="19.5" hidden="false" customHeight="true" outlineLevel="0" collapsed="false">
      <c r="A8" s="7" t="s">
        <v>86</v>
      </c>
      <c r="B8" s="7" t="s">
        <v>87</v>
      </c>
      <c r="C8" s="7" t="s">
        <v>88</v>
      </c>
      <c r="D8" s="7" t="s">
        <v>89</v>
      </c>
      <c r="E8" s="7" t="s">
        <v>90</v>
      </c>
      <c r="F8" s="7" t="s">
        <v>91</v>
      </c>
      <c r="H8" s="10" t="s">
        <v>92</v>
      </c>
      <c r="I8" s="10"/>
      <c r="J8" s="10"/>
      <c r="K8" s="10"/>
      <c r="L8" s="10"/>
      <c r="M8" s="10"/>
      <c r="N8" s="10"/>
      <c r="O8" s="10"/>
      <c r="P8" s="10"/>
      <c r="Q8" s="10"/>
    </row>
    <row r="9" customFormat="false" ht="15" hidden="false" customHeight="false" outlineLevel="0" collapsed="false">
      <c r="A9" s="9" t="s">
        <v>93</v>
      </c>
      <c r="B9" s="15" t="n">
        <v>1</v>
      </c>
      <c r="C9" s="15" t="n">
        <v>2</v>
      </c>
      <c r="D9" s="15" t="n">
        <v>4</v>
      </c>
      <c r="E9" s="15" t="n">
        <v>12</v>
      </c>
      <c r="F9" s="15" t="n">
        <v>365</v>
      </c>
      <c r="H9" s="10"/>
      <c r="I9" s="10"/>
      <c r="J9" s="10"/>
      <c r="K9" s="10"/>
      <c r="L9" s="10"/>
      <c r="M9" s="10"/>
      <c r="N9" s="10"/>
      <c r="O9" s="10"/>
      <c r="P9" s="10"/>
      <c r="Q9" s="10"/>
    </row>
    <row r="10" customFormat="false" ht="15" hidden="false" customHeight="true" outlineLevel="0" collapsed="false">
      <c r="A10" s="4" t="s">
        <v>94</v>
      </c>
      <c r="B10" s="6" t="n">
        <f aca="false">B26</f>
        <v>17908.4769654285</v>
      </c>
      <c r="C10" s="6" t="n">
        <f aca="false">C26</f>
        <v>18061.1123466942</v>
      </c>
      <c r="D10" s="6" t="n">
        <f aca="false">D26</f>
        <v>18140.1840866894</v>
      </c>
      <c r="E10" s="6" t="n">
        <f aca="false">E26</f>
        <v>18193.9673403229</v>
      </c>
      <c r="F10" s="6" t="n">
        <f aca="false">F26</f>
        <v>18220.2895453843</v>
      </c>
      <c r="H10" s="10" t="s">
        <v>95</v>
      </c>
      <c r="I10" s="10"/>
      <c r="J10" s="10"/>
      <c r="K10" s="10"/>
      <c r="L10" s="10"/>
      <c r="M10" s="10"/>
      <c r="N10" s="10"/>
      <c r="O10" s="10"/>
      <c r="P10" s="10"/>
      <c r="Q10" s="10"/>
    </row>
    <row r="11" customFormat="false" ht="15" hidden="false" customHeight="false" outlineLevel="0" collapsed="false">
      <c r="A11" s="4" t="s">
        <v>96</v>
      </c>
      <c r="B11" s="6" t="n">
        <f aca="false">B10-$B$5</f>
        <v>7908.47696542855</v>
      </c>
      <c r="C11" s="6" t="n">
        <f aca="false">C10-$B$5</f>
        <v>8061.11234669415</v>
      </c>
      <c r="D11" s="6" t="n">
        <f aca="false">D10-$B$5</f>
        <v>8140.18408668945</v>
      </c>
      <c r="E11" s="6" t="n">
        <f aca="false">E10-$B$5</f>
        <v>8193.9673403229</v>
      </c>
      <c r="F11" s="6" t="n">
        <f aca="false">F10-$B$5</f>
        <v>8220.28954538427</v>
      </c>
      <c r="H11" s="10"/>
      <c r="I11" s="10"/>
      <c r="J11" s="10"/>
      <c r="K11" s="10"/>
      <c r="L11" s="10"/>
      <c r="M11" s="10"/>
      <c r="N11" s="10"/>
      <c r="O11" s="10"/>
      <c r="P11" s="10"/>
      <c r="Q11" s="10"/>
    </row>
    <row r="12" customFormat="false" ht="15" hidden="false" customHeight="false" outlineLevel="0" collapsed="false">
      <c r="A12" s="4" t="s">
        <v>97</v>
      </c>
      <c r="B12" s="6" t="n">
        <f aca="false">B11-$B$11</f>
        <v>0</v>
      </c>
      <c r="C12" s="6" t="n">
        <f aca="false">C11-$B$11</f>
        <v>152.635381265605</v>
      </c>
      <c r="D12" s="6" t="n">
        <f aca="false">D11-$B$11</f>
        <v>231.707121260901</v>
      </c>
      <c r="E12" s="6" t="n">
        <f aca="false">E11-$B$11</f>
        <v>285.490374894354</v>
      </c>
      <c r="F12" s="6" t="n">
        <f aca="false">F11-$B$11</f>
        <v>311.812579955727</v>
      </c>
    </row>
    <row r="13" customFormat="false" ht="15" hidden="false" customHeight="false" outlineLevel="0" collapsed="false">
      <c r="A13" s="4" t="s">
        <v>98</v>
      </c>
      <c r="B13" s="16" t="n">
        <f aca="false">(1+$B$6/B9)^B9-1</f>
        <v>0.0600000000000001</v>
      </c>
      <c r="C13" s="16" t="n">
        <f aca="false">(1+$B$6/C9)^C9-1</f>
        <v>0.0609</v>
      </c>
      <c r="D13" s="16" t="n">
        <f aca="false">(1+$B$6/D9)^D9-1</f>
        <v>0.0613635506249997</v>
      </c>
      <c r="E13" s="16" t="n">
        <f aca="false">(1+$B$6/E9)^E9-1</f>
        <v>0.0616778118644983</v>
      </c>
      <c r="F13" s="16" t="n">
        <f aca="false">(1+$B$6/F9)^F9-1</f>
        <v>0.0618313106778525</v>
      </c>
    </row>
    <row r="15" customFormat="false" ht="19.5" hidden="false" customHeight="true" outlineLevel="0" collapsed="false">
      <c r="A15" s="7" t="s">
        <v>58</v>
      </c>
      <c r="B15" s="7" t="s">
        <v>99</v>
      </c>
      <c r="C15" s="7" t="s">
        <v>100</v>
      </c>
      <c r="D15" s="7" t="s">
        <v>101</v>
      </c>
      <c r="E15" s="7" t="s">
        <v>102</v>
      </c>
      <c r="F15" s="7" t="s">
        <v>103</v>
      </c>
    </row>
    <row r="16" customFormat="false" ht="15" hidden="false" customHeight="false" outlineLevel="0" collapsed="false">
      <c r="A16" s="13" t="n">
        <v>0</v>
      </c>
      <c r="B16" s="6" t="n">
        <f aca="false">$B$5*(1+$B$6/B$9)^(B$9*$A16)</f>
        <v>10000</v>
      </c>
      <c r="C16" s="6" t="n">
        <f aca="false">$B$5*(1+$B$6/C$9)^(C$9*$A16)</f>
        <v>10000</v>
      </c>
      <c r="D16" s="6" t="n">
        <f aca="false">$B$5*(1+$B$6/D$9)^(D$9*$A16)</f>
        <v>10000</v>
      </c>
      <c r="E16" s="6" t="n">
        <f aca="false">$B$5*(1+$B$6/E$9)^(E$9*$A16)</f>
        <v>10000</v>
      </c>
      <c r="F16" s="6" t="n">
        <f aca="false">$B$5*(1+$B$6/F$9)^(F$9*$A16)</f>
        <v>10000</v>
      </c>
    </row>
    <row r="17" customFormat="false" ht="15" hidden="false" customHeight="false" outlineLevel="0" collapsed="false">
      <c r="A17" s="13" t="n">
        <v>1</v>
      </c>
      <c r="B17" s="6" t="n">
        <f aca="false">$B$5*(1+$B$6/B$9)^(B$9*$A17)</f>
        <v>10600</v>
      </c>
      <c r="C17" s="6" t="n">
        <f aca="false">$B$5*(1+$B$6/C$9)^(C$9*$A17)</f>
        <v>10609</v>
      </c>
      <c r="D17" s="6" t="n">
        <f aca="false">$B$5*(1+$B$6/D$9)^(D$9*$A17)</f>
        <v>10613.63550625</v>
      </c>
      <c r="E17" s="6" t="n">
        <f aca="false">$B$5*(1+$B$6/E$9)^(E$9*$A17)</f>
        <v>10616.778118645</v>
      </c>
      <c r="F17" s="6" t="n">
        <f aca="false">$B$5*(1+$B$6/F$9)^(F$9*$A17)</f>
        <v>10618.3131067785</v>
      </c>
    </row>
    <row r="18" customFormat="false" ht="15" hidden="false" customHeight="false" outlineLevel="0" collapsed="false">
      <c r="A18" s="13" t="n">
        <v>2</v>
      </c>
      <c r="B18" s="6" t="n">
        <f aca="false">$B$5*(1+$B$6/B$9)^(B$9*$A18)</f>
        <v>11236</v>
      </c>
      <c r="C18" s="6" t="n">
        <f aca="false">$B$5*(1+$B$6/C$9)^(C$9*$A18)</f>
        <v>11255.0881</v>
      </c>
      <c r="D18" s="6" t="n">
        <f aca="false">$B$5*(1+$B$6/D$9)^(D$9*$A18)</f>
        <v>11264.9258659531</v>
      </c>
      <c r="E18" s="6" t="n">
        <f aca="false">$B$5*(1+$B$6/E$9)^(E$9*$A18)</f>
        <v>11271.5977620539</v>
      </c>
      <c r="F18" s="6" t="n">
        <f aca="false">$B$5*(1+$B$6/F$9)^(F$9*$A18)</f>
        <v>11274.8573233585</v>
      </c>
    </row>
    <row r="19" customFormat="false" ht="15" hidden="false" customHeight="false" outlineLevel="0" collapsed="false">
      <c r="A19" s="13" t="n">
        <v>3</v>
      </c>
      <c r="B19" s="6" t="n">
        <f aca="false">$B$5*(1+$B$6/B$9)^(B$9*$A19)</f>
        <v>11910.16</v>
      </c>
      <c r="C19" s="6" t="n">
        <f aca="false">$B$5*(1+$B$6/C$9)^(C$9*$A19)</f>
        <v>11940.52296529</v>
      </c>
      <c r="D19" s="6" t="n">
        <f aca="false">$B$5*(1+$B$6/D$9)^(D$9*$A19)</f>
        <v>11956.1817146153</v>
      </c>
      <c r="E19" s="6" t="n">
        <f aca="false">$B$5*(1+$B$6/E$9)^(E$9*$A19)</f>
        <v>11966.8052482341</v>
      </c>
      <c r="F19" s="6" t="n">
        <f aca="false">$B$5*(1+$B$6/F$9)^(F$9*$A19)</f>
        <v>11971.9965293675</v>
      </c>
    </row>
    <row r="20" customFormat="false" ht="15" hidden="false" customHeight="false" outlineLevel="0" collapsed="false">
      <c r="A20" s="13" t="n">
        <v>4</v>
      </c>
      <c r="B20" s="6" t="n">
        <f aca="false">$B$5*(1+$B$6/B$9)^(B$9*$A20)</f>
        <v>12624.7696</v>
      </c>
      <c r="C20" s="6" t="n">
        <f aca="false">$B$5*(1+$B$6/C$9)^(C$9*$A20)</f>
        <v>12667.7008138762</v>
      </c>
      <c r="D20" s="6" t="n">
        <f aca="false">$B$5*(1+$B$6/D$9)^(D$9*$A20)</f>
        <v>12689.8554765418</v>
      </c>
      <c r="E20" s="6" t="n">
        <f aca="false">$B$5*(1+$B$6/E$9)^(E$9*$A20)</f>
        <v>12704.8916109538</v>
      </c>
      <c r="F20" s="6" t="n">
        <f aca="false">$B$5*(1+$B$6/F$9)^(F$9*$A20)</f>
        <v>12712.240766209</v>
      </c>
    </row>
    <row r="21" customFormat="false" ht="15" hidden="false" customHeight="false" outlineLevel="0" collapsed="false">
      <c r="A21" s="13" t="n">
        <v>5</v>
      </c>
      <c r="B21" s="6" t="n">
        <f aca="false">$B$5*(1+$B$6/B$9)^(B$9*$A21)</f>
        <v>13382.255776</v>
      </c>
      <c r="C21" s="6" t="n">
        <f aca="false">$B$5*(1+$B$6/C$9)^(C$9*$A21)</f>
        <v>13439.1637934412</v>
      </c>
      <c r="D21" s="6" t="n">
        <f aca="false">$B$5*(1+$B$6/D$9)^(D$9*$A21)</f>
        <v>13468.5500655005</v>
      </c>
      <c r="E21" s="6" t="n">
        <f aca="false">$B$5*(1+$B$6/E$9)^(E$9*$A21)</f>
        <v>13488.5015254931</v>
      </c>
      <c r="F21" s="6" t="n">
        <f aca="false">$B$5*(1+$B$6/F$9)^(F$9*$A21)</f>
        <v>13498.2552744361</v>
      </c>
    </row>
    <row r="22" customFormat="false" ht="15" hidden="false" customHeight="false" outlineLevel="0" collapsed="false">
      <c r="A22" s="13" t="n">
        <v>6</v>
      </c>
      <c r="B22" s="6" t="n">
        <f aca="false">$B$5*(1+$B$6/B$9)^(B$9*$A22)</f>
        <v>14185.19112256</v>
      </c>
      <c r="C22" s="6" t="n">
        <f aca="false">$B$5*(1+$B$6/C$9)^(C$9*$A22)</f>
        <v>14257.6088684618</v>
      </c>
      <c r="D22" s="6" t="n">
        <f aca="false">$B$5*(1+$B$6/D$9)^(D$9*$A22)</f>
        <v>14295.0281192902</v>
      </c>
      <c r="E22" s="6" t="n">
        <f aca="false">$B$5*(1+$B$6/E$9)^(E$9*$A22)</f>
        <v>14320.4427849164</v>
      </c>
      <c r="F22" s="6" t="n">
        <f aca="false">$B$5*(1+$B$6/F$9)^(F$9*$A22)</f>
        <v>14332.8700899187</v>
      </c>
    </row>
    <row r="23" customFormat="false" ht="15" hidden="false" customHeight="false" outlineLevel="0" collapsed="false">
      <c r="A23" s="13" t="n">
        <v>7</v>
      </c>
      <c r="B23" s="6" t="n">
        <f aca="false">$B$5*(1+$B$6/B$9)^(B$9*$A23)</f>
        <v>15036.3025899136</v>
      </c>
      <c r="C23" s="6" t="n">
        <f aca="false">$B$5*(1+$B$6/C$9)^(C$9*$A23)</f>
        <v>15125.8972485511</v>
      </c>
      <c r="D23" s="6" t="n">
        <f aca="false">$B$5*(1+$B$6/D$9)^(D$9*$A23)</f>
        <v>15172.2218009741</v>
      </c>
      <c r="E23" s="6" t="n">
        <f aca="false">$B$5*(1+$B$6/E$9)^(E$9*$A23)</f>
        <v>15203.6963608208</v>
      </c>
      <c r="F23" s="6" t="n">
        <f aca="false">$B$5*(1+$B$6/F$9)^(F$9*$A23)</f>
        <v>15219.0902333538</v>
      </c>
    </row>
    <row r="24" customFormat="false" ht="15" hidden="false" customHeight="false" outlineLevel="0" collapsed="false">
      <c r="A24" s="13" t="n">
        <v>8</v>
      </c>
      <c r="B24" s="6" t="n">
        <f aca="false">$B$5*(1+$B$6/B$9)^(B$9*$A24)</f>
        <v>15938.4807453084</v>
      </c>
      <c r="C24" s="6" t="n">
        <f aca="false">$B$5*(1+$B$6/C$9)^(C$9*$A24)</f>
        <v>16047.0643909879</v>
      </c>
      <c r="D24" s="6" t="n">
        <f aca="false">$B$5*(1+$B$6/D$9)^(D$9*$A24)</f>
        <v>16103.2432015519</v>
      </c>
      <c r="E24" s="6" t="n">
        <f aca="false">$B$5*(1+$B$6/E$9)^(E$9*$A24)</f>
        <v>16141.4270846085</v>
      </c>
      <c r="F24" s="6" t="n">
        <f aca="false">$B$5*(1+$B$6/F$9)^(F$9*$A24)</f>
        <v>16160.1065298066</v>
      </c>
    </row>
    <row r="25" customFormat="false" ht="15" hidden="false" customHeight="false" outlineLevel="0" collapsed="false">
      <c r="A25" s="13" t="n">
        <v>9</v>
      </c>
      <c r="B25" s="6" t="n">
        <f aca="false">$B$5*(1+$B$6/B$9)^(B$9*$A25)</f>
        <v>16894.7895900269</v>
      </c>
      <c r="C25" s="6" t="n">
        <f aca="false">$B$5*(1+$B$6/C$9)^(C$9*$A25)</f>
        <v>17024.330612399</v>
      </c>
      <c r="D25" s="6" t="n">
        <f aca="false">$B$5*(1+$B$6/D$9)^(D$9*$A25)</f>
        <v>17091.395380977</v>
      </c>
      <c r="E25" s="6" t="n">
        <f aca="false">$B$5*(1+$B$6/E$9)^(E$9*$A25)</f>
        <v>17136.9949875575</v>
      </c>
      <c r="F25" s="6" t="n">
        <f aca="false">$B$5*(1+$B$6/F$9)^(F$9*$A25)</f>
        <v>17159.3070972383</v>
      </c>
    </row>
    <row r="26" customFormat="false" ht="15" hidden="false" customHeight="false" outlineLevel="0" collapsed="false">
      <c r="A26" s="13" t="n">
        <v>10</v>
      </c>
      <c r="B26" s="6" t="n">
        <f aca="false">$B$5*(1+$B$6/B$9)^(B$9*$A26)</f>
        <v>17908.4769654285</v>
      </c>
      <c r="C26" s="6" t="n">
        <f aca="false">$B$5*(1+$B$6/C$9)^(C$9*$A26)</f>
        <v>18061.1123466942</v>
      </c>
      <c r="D26" s="6" t="n">
        <f aca="false">$B$5*(1+$B$6/D$9)^(D$9*$A26)</f>
        <v>18140.1840866894</v>
      </c>
      <c r="E26" s="6" t="n">
        <f aca="false">$B$5*(1+$B$6/E$9)^(E$9*$A26)</f>
        <v>18193.9673403229</v>
      </c>
      <c r="F26" s="6" t="n">
        <f aca="false">$B$5*(1+$B$6/F$9)^(F$9*$A26)</f>
        <v>18220.2895453843</v>
      </c>
    </row>
    <row r="32" customFormat="false" ht="15" hidden="false" customHeight="false" outlineLevel="0" collapsed="false">
      <c r="H32" s="3" t="s">
        <v>64</v>
      </c>
    </row>
    <row r="33" customFormat="false" ht="15" hidden="false" customHeight="true" outlineLevel="0" collapsed="false">
      <c r="H33" s="10" t="s">
        <v>104</v>
      </c>
      <c r="I33" s="10"/>
      <c r="J33" s="10"/>
      <c r="K33" s="10"/>
      <c r="L33" s="10"/>
      <c r="M33" s="10"/>
      <c r="N33" s="10"/>
      <c r="O33" s="10"/>
      <c r="P33" s="10"/>
      <c r="Q33" s="10"/>
    </row>
    <row r="34" customFormat="false" ht="15" hidden="false" customHeight="true" outlineLevel="0" collapsed="false">
      <c r="H34" s="10" t="s">
        <v>105</v>
      </c>
      <c r="I34" s="10"/>
      <c r="J34" s="10"/>
      <c r="K34" s="10"/>
      <c r="L34" s="10"/>
      <c r="M34" s="10"/>
      <c r="N34" s="10"/>
      <c r="O34" s="10"/>
      <c r="P34" s="10"/>
      <c r="Q34" s="10"/>
    </row>
    <row r="35" customFormat="false" ht="15" hidden="false" customHeight="true" outlineLevel="0" collapsed="false">
      <c r="H35" s="10" t="s">
        <v>106</v>
      </c>
      <c r="I35" s="10"/>
      <c r="J35" s="10"/>
      <c r="K35" s="10"/>
      <c r="L35" s="10"/>
      <c r="M35" s="10"/>
      <c r="N35" s="10"/>
      <c r="O35" s="10"/>
      <c r="P35" s="10"/>
      <c r="Q35" s="10"/>
    </row>
    <row r="36" customFormat="false" ht="15" hidden="false" customHeight="true" outlineLevel="0" collapsed="false">
      <c r="H36" s="10" t="s">
        <v>68</v>
      </c>
      <c r="I36" s="10"/>
      <c r="J36" s="10"/>
      <c r="K36" s="10"/>
      <c r="L36" s="10"/>
      <c r="M36" s="10"/>
      <c r="N36" s="10"/>
      <c r="O36" s="10"/>
      <c r="P36" s="10"/>
      <c r="Q36" s="10"/>
    </row>
  </sheetData>
  <mergeCells count="10">
    <mergeCell ref="A1:Q1"/>
    <mergeCell ref="A2:Q2"/>
    <mergeCell ref="H5:Q6"/>
    <mergeCell ref="H7:Q7"/>
    <mergeCell ref="H8:Q9"/>
    <mergeCell ref="H10:Q11"/>
    <mergeCell ref="H33:Q33"/>
    <mergeCell ref="H34:Q34"/>
    <mergeCell ref="H35:Q35"/>
    <mergeCell ref="H36:Q36"/>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6" min="2" style="0" width="17"/>
    <col collapsed="false" customWidth="true" hidden="false" outlineLevel="0" max="7" min="7" style="0" width="3"/>
    <col collapsed="false" customWidth="true" hidden="false" outlineLevel="0" max="17" min="8" style="0" width="11"/>
  </cols>
  <sheetData>
    <row r="1" customFormat="false" ht="31.5" hidden="false" customHeight="true" outlineLevel="0" collapsed="false">
      <c r="A1" s="1" t="s">
        <v>107</v>
      </c>
      <c r="B1" s="1"/>
      <c r="C1" s="1"/>
      <c r="D1" s="1"/>
      <c r="E1" s="1"/>
      <c r="F1" s="1"/>
      <c r="G1" s="1"/>
      <c r="H1" s="1"/>
      <c r="I1" s="1"/>
      <c r="J1" s="1"/>
      <c r="K1" s="1"/>
      <c r="L1" s="1"/>
      <c r="M1" s="1"/>
      <c r="N1" s="1"/>
      <c r="O1" s="1"/>
      <c r="P1" s="1"/>
      <c r="Q1" s="1"/>
    </row>
    <row r="2" customFormat="false" ht="31.5" hidden="false" customHeight="true" outlineLevel="0" collapsed="false">
      <c r="A2" s="2" t="s">
        <v>108</v>
      </c>
      <c r="B2" s="2"/>
      <c r="C2" s="2"/>
      <c r="D2" s="2"/>
      <c r="E2" s="2"/>
      <c r="F2" s="2"/>
      <c r="G2" s="2"/>
      <c r="H2" s="2"/>
      <c r="I2" s="2"/>
      <c r="J2" s="2"/>
      <c r="K2" s="2"/>
      <c r="L2" s="2"/>
      <c r="M2" s="2"/>
      <c r="N2" s="2"/>
      <c r="O2" s="2"/>
      <c r="P2" s="2"/>
      <c r="Q2" s="2"/>
    </row>
    <row r="4" customFormat="false" ht="15" hidden="false" customHeight="false" outlineLevel="0" collapsed="false">
      <c r="A4" s="3" t="s">
        <v>44</v>
      </c>
      <c r="H4" s="3" t="s">
        <v>45</v>
      </c>
    </row>
    <row r="5" customFormat="false" ht="15" hidden="false" customHeight="true" outlineLevel="0" collapsed="false">
      <c r="A5" s="4" t="s">
        <v>109</v>
      </c>
      <c r="B5" s="5" t="n">
        <v>2400</v>
      </c>
      <c r="H5" s="10" t="s">
        <v>110</v>
      </c>
      <c r="I5" s="10"/>
      <c r="J5" s="10"/>
      <c r="K5" s="10"/>
      <c r="L5" s="10"/>
      <c r="M5" s="10"/>
      <c r="N5" s="10"/>
      <c r="O5" s="10"/>
      <c r="P5" s="10"/>
      <c r="Q5" s="10"/>
    </row>
    <row r="6" customFormat="false" ht="15" hidden="false" customHeight="true" outlineLevel="0" collapsed="false">
      <c r="A6" s="4" t="s">
        <v>111</v>
      </c>
      <c r="B6" s="5" t="n">
        <v>300</v>
      </c>
      <c r="H6" s="10" t="s">
        <v>112</v>
      </c>
      <c r="I6" s="10"/>
      <c r="J6" s="10"/>
      <c r="K6" s="10"/>
      <c r="L6" s="10"/>
      <c r="M6" s="10"/>
      <c r="N6" s="10"/>
      <c r="O6" s="10"/>
      <c r="P6" s="10"/>
      <c r="Q6" s="10"/>
    </row>
    <row r="7" customFormat="false" ht="15" hidden="false" customHeight="false" outlineLevel="0" collapsed="false">
      <c r="A7" s="4" t="s">
        <v>113</v>
      </c>
      <c r="B7" s="11" t="n">
        <v>0.25</v>
      </c>
      <c r="H7" s="10"/>
      <c r="I7" s="10"/>
      <c r="J7" s="10"/>
      <c r="K7" s="10"/>
      <c r="L7" s="10"/>
      <c r="M7" s="10"/>
      <c r="N7" s="10"/>
      <c r="O7" s="10"/>
      <c r="P7" s="10"/>
      <c r="Q7" s="10"/>
    </row>
    <row r="8" customFormat="false" ht="15" hidden="false" customHeight="true" outlineLevel="0" collapsed="false">
      <c r="H8" s="12" t="s">
        <v>114</v>
      </c>
      <c r="I8" s="12"/>
      <c r="J8" s="12"/>
      <c r="K8" s="12"/>
      <c r="L8" s="12"/>
      <c r="M8" s="12"/>
      <c r="N8" s="12"/>
      <c r="O8" s="12"/>
      <c r="P8" s="12"/>
      <c r="Q8" s="12"/>
    </row>
    <row r="9" customFormat="false" ht="15" hidden="false" customHeight="false" outlineLevel="0" collapsed="false">
      <c r="A9" s="3" t="s">
        <v>50</v>
      </c>
      <c r="H9" s="12"/>
      <c r="I9" s="12"/>
      <c r="J9" s="12"/>
      <c r="K9" s="12"/>
      <c r="L9" s="12"/>
      <c r="M9" s="12"/>
      <c r="N9" s="12"/>
      <c r="O9" s="12"/>
      <c r="P9" s="12"/>
      <c r="Q9" s="12"/>
    </row>
    <row r="10" customFormat="false" ht="15" hidden="false" customHeight="true" outlineLevel="0" collapsed="false">
      <c r="A10" s="4" t="s">
        <v>115</v>
      </c>
      <c r="B10" s="17" t="n">
        <f aca="false">B5/B6</f>
        <v>8</v>
      </c>
      <c r="H10" s="10" t="s">
        <v>116</v>
      </c>
      <c r="I10" s="10"/>
      <c r="J10" s="10"/>
      <c r="K10" s="10"/>
      <c r="L10" s="10"/>
      <c r="M10" s="10"/>
      <c r="N10" s="10"/>
      <c r="O10" s="10"/>
      <c r="P10" s="10"/>
      <c r="Q10" s="10"/>
    </row>
    <row r="11" customFormat="false" ht="15" hidden="false" customHeight="false" outlineLevel="0" collapsed="false">
      <c r="A11" s="4" t="s">
        <v>117</v>
      </c>
      <c r="B11" s="6" t="n">
        <f aca="false">C25</f>
        <v>135.152435302734</v>
      </c>
      <c r="H11" s="10"/>
      <c r="I11" s="10"/>
      <c r="J11" s="10"/>
      <c r="K11" s="10"/>
      <c r="L11" s="10"/>
      <c r="M11" s="10"/>
      <c r="N11" s="10"/>
      <c r="O11" s="10"/>
      <c r="P11" s="10"/>
      <c r="Q11" s="10"/>
    </row>
    <row r="12" customFormat="false" ht="15" hidden="false" customHeight="true" outlineLevel="0" collapsed="false">
      <c r="A12" s="4" t="s">
        <v>118</v>
      </c>
      <c r="B12" s="13" t="n">
        <f aca="false">IFERROR(INDEX(A15:A25,MATCH("Straight-line",E15:E25,0)),"Not in 10 years")</f>
        <v>7</v>
      </c>
      <c r="H12" s="12" t="s">
        <v>119</v>
      </c>
      <c r="I12" s="12"/>
      <c r="J12" s="12"/>
      <c r="K12" s="12"/>
      <c r="L12" s="12"/>
      <c r="M12" s="12"/>
      <c r="N12" s="12"/>
      <c r="O12" s="12"/>
      <c r="P12" s="12"/>
      <c r="Q12" s="12"/>
    </row>
    <row r="14" customFormat="false" ht="31.5" hidden="false" customHeight="true" outlineLevel="0" collapsed="false">
      <c r="A14" s="7" t="s">
        <v>58</v>
      </c>
      <c r="B14" s="7" t="s">
        <v>120</v>
      </c>
      <c r="C14" s="7" t="s">
        <v>121</v>
      </c>
      <c r="D14" s="7" t="s">
        <v>122</v>
      </c>
      <c r="E14" s="7" t="s">
        <v>123</v>
      </c>
    </row>
    <row r="15" customFormat="false" ht="15" hidden="false" customHeight="false" outlineLevel="0" collapsed="false">
      <c r="A15" s="13" t="n">
        <v>0</v>
      </c>
      <c r="B15" s="6" t="n">
        <f aca="false">MAX(0,$B$5-$B$6*A15)</f>
        <v>2400</v>
      </c>
      <c r="C15" s="6" t="n">
        <f aca="false">$B$5*(1-$B$7)^A15</f>
        <v>2400</v>
      </c>
      <c r="D15" s="14" t="s">
        <v>63</v>
      </c>
      <c r="E15" s="18" t="str">
        <f aca="false">IF(ROUND(B15-C15,2)=0,"Same",IF(B15&lt;C15,"Straight-line","Declining balance"))</f>
        <v>Same</v>
      </c>
    </row>
    <row r="16" customFormat="false" ht="15" hidden="false" customHeight="false" outlineLevel="0" collapsed="false">
      <c r="A16" s="13" t="n">
        <v>1</v>
      </c>
      <c r="B16" s="6" t="n">
        <f aca="false">MAX(0,$B$5-$B$6*A16)</f>
        <v>2100</v>
      </c>
      <c r="C16" s="6" t="n">
        <f aca="false">$B$5*(1-$B$7)^A16</f>
        <v>1800</v>
      </c>
      <c r="D16" s="14" t="n">
        <f aca="false">C15-C16</f>
        <v>600</v>
      </c>
      <c r="E16" s="18" t="str">
        <f aca="false">IF(ROUND(B16-C16,2)=0,"Same",IF(B16&lt;C16,"Straight-line","Declining balance"))</f>
        <v>Declining balance</v>
      </c>
    </row>
    <row r="17" customFormat="false" ht="15" hidden="false" customHeight="false" outlineLevel="0" collapsed="false">
      <c r="A17" s="13" t="n">
        <v>2</v>
      </c>
      <c r="B17" s="6" t="n">
        <f aca="false">MAX(0,$B$5-$B$6*A17)</f>
        <v>1800</v>
      </c>
      <c r="C17" s="6" t="n">
        <f aca="false">$B$5*(1-$B$7)^A17</f>
        <v>1350</v>
      </c>
      <c r="D17" s="14" t="n">
        <f aca="false">C16-C17</f>
        <v>450</v>
      </c>
      <c r="E17" s="18" t="str">
        <f aca="false">IF(ROUND(B17-C17,2)=0,"Same",IF(B17&lt;C17,"Straight-line","Declining balance"))</f>
        <v>Declining balance</v>
      </c>
    </row>
    <row r="18" customFormat="false" ht="15" hidden="false" customHeight="false" outlineLevel="0" collapsed="false">
      <c r="A18" s="13" t="n">
        <v>3</v>
      </c>
      <c r="B18" s="6" t="n">
        <f aca="false">MAX(0,$B$5-$B$6*A18)</f>
        <v>1500</v>
      </c>
      <c r="C18" s="6" t="n">
        <f aca="false">$B$5*(1-$B$7)^A18</f>
        <v>1012.5</v>
      </c>
      <c r="D18" s="14" t="n">
        <f aca="false">C17-C18</f>
        <v>337.5</v>
      </c>
      <c r="E18" s="18" t="str">
        <f aca="false">IF(ROUND(B18-C18,2)=0,"Same",IF(B18&lt;C18,"Straight-line","Declining balance"))</f>
        <v>Declining balance</v>
      </c>
    </row>
    <row r="19" customFormat="false" ht="15" hidden="false" customHeight="false" outlineLevel="0" collapsed="false">
      <c r="A19" s="13" t="n">
        <v>4</v>
      </c>
      <c r="B19" s="6" t="n">
        <f aca="false">MAX(0,$B$5-$B$6*A19)</f>
        <v>1200</v>
      </c>
      <c r="C19" s="6" t="n">
        <f aca="false">$B$5*(1-$B$7)^A19</f>
        <v>759.375</v>
      </c>
      <c r="D19" s="14" t="n">
        <f aca="false">C18-C19</f>
        <v>253.125</v>
      </c>
      <c r="E19" s="18" t="str">
        <f aca="false">IF(ROUND(B19-C19,2)=0,"Same",IF(B19&lt;C19,"Straight-line","Declining balance"))</f>
        <v>Declining balance</v>
      </c>
    </row>
    <row r="20" customFormat="false" ht="15" hidden="false" customHeight="false" outlineLevel="0" collapsed="false">
      <c r="A20" s="13" t="n">
        <v>5</v>
      </c>
      <c r="B20" s="6" t="n">
        <f aca="false">MAX(0,$B$5-$B$6*A20)</f>
        <v>900</v>
      </c>
      <c r="C20" s="6" t="n">
        <f aca="false">$B$5*(1-$B$7)^A20</f>
        <v>569.53125</v>
      </c>
      <c r="D20" s="14" t="n">
        <f aca="false">C19-C20</f>
        <v>189.84375</v>
      </c>
      <c r="E20" s="18" t="str">
        <f aca="false">IF(ROUND(B20-C20,2)=0,"Same",IF(B20&lt;C20,"Straight-line","Declining balance"))</f>
        <v>Declining balance</v>
      </c>
    </row>
    <row r="21" customFormat="false" ht="15" hidden="false" customHeight="false" outlineLevel="0" collapsed="false">
      <c r="A21" s="13" t="n">
        <v>6</v>
      </c>
      <c r="B21" s="6" t="n">
        <f aca="false">MAX(0,$B$5-$B$6*A21)</f>
        <v>600</v>
      </c>
      <c r="C21" s="6" t="n">
        <f aca="false">$B$5*(1-$B$7)^A21</f>
        <v>427.1484375</v>
      </c>
      <c r="D21" s="14" t="n">
        <f aca="false">C20-C21</f>
        <v>142.3828125</v>
      </c>
      <c r="E21" s="18" t="str">
        <f aca="false">IF(ROUND(B21-C21,2)=0,"Same",IF(B21&lt;C21,"Straight-line","Declining balance"))</f>
        <v>Declining balance</v>
      </c>
    </row>
    <row r="22" customFormat="false" ht="15" hidden="false" customHeight="false" outlineLevel="0" collapsed="false">
      <c r="A22" s="13" t="n">
        <v>7</v>
      </c>
      <c r="B22" s="6" t="n">
        <f aca="false">MAX(0,$B$5-$B$6*A22)</f>
        <v>300</v>
      </c>
      <c r="C22" s="6" t="n">
        <f aca="false">$B$5*(1-$B$7)^A22</f>
        <v>320.361328125</v>
      </c>
      <c r="D22" s="14" t="n">
        <f aca="false">C21-C22</f>
        <v>106.787109375</v>
      </c>
      <c r="E22" s="18" t="str">
        <f aca="false">IF(ROUND(B22-C22,2)=0,"Same",IF(B22&lt;C22,"Straight-line","Declining balance"))</f>
        <v>Straight-line</v>
      </c>
    </row>
    <row r="23" customFormat="false" ht="15" hidden="false" customHeight="false" outlineLevel="0" collapsed="false">
      <c r="A23" s="13" t="n">
        <v>8</v>
      </c>
      <c r="B23" s="6" t="n">
        <f aca="false">MAX(0,$B$5-$B$6*A23)</f>
        <v>0</v>
      </c>
      <c r="C23" s="6" t="n">
        <f aca="false">$B$5*(1-$B$7)^A23</f>
        <v>240.27099609375</v>
      </c>
      <c r="D23" s="14" t="n">
        <f aca="false">C22-C23</f>
        <v>80.09033203125</v>
      </c>
      <c r="E23" s="18" t="str">
        <f aca="false">IF(ROUND(B23-C23,2)=0,"Same",IF(B23&lt;C23,"Straight-line","Declining balance"))</f>
        <v>Straight-line</v>
      </c>
    </row>
    <row r="24" customFormat="false" ht="15" hidden="false" customHeight="false" outlineLevel="0" collapsed="false">
      <c r="A24" s="13" t="n">
        <v>9</v>
      </c>
      <c r="B24" s="6" t="n">
        <f aca="false">MAX(0,$B$5-$B$6*A24)</f>
        <v>0</v>
      </c>
      <c r="C24" s="6" t="n">
        <f aca="false">$B$5*(1-$B$7)^A24</f>
        <v>180.203247070313</v>
      </c>
      <c r="D24" s="14" t="n">
        <f aca="false">C23-C24</f>
        <v>60.0677490234375</v>
      </c>
      <c r="E24" s="18" t="str">
        <f aca="false">IF(ROUND(B24-C24,2)=0,"Same",IF(B24&lt;C24,"Straight-line","Declining balance"))</f>
        <v>Straight-line</v>
      </c>
    </row>
    <row r="25" customFormat="false" ht="15" hidden="false" customHeight="false" outlineLevel="0" collapsed="false">
      <c r="A25" s="13" t="n">
        <v>10</v>
      </c>
      <c r="B25" s="6" t="n">
        <f aca="false">MAX(0,$B$5-$B$6*A25)</f>
        <v>0</v>
      </c>
      <c r="C25" s="6" t="n">
        <f aca="false">$B$5*(1-$B$7)^A25</f>
        <v>135.152435302734</v>
      </c>
      <c r="D25" s="14" t="n">
        <f aca="false">C24-C25</f>
        <v>45.0508117675781</v>
      </c>
      <c r="E25" s="18" t="str">
        <f aca="false">IF(ROUND(B25-C25,2)=0,"Same",IF(B25&lt;C25,"Straight-line","Declining balance"))</f>
        <v>Straight-line</v>
      </c>
    </row>
    <row r="33" customFormat="false" ht="15" hidden="false" customHeight="false" outlineLevel="0" collapsed="false">
      <c r="H33" s="3" t="s">
        <v>64</v>
      </c>
    </row>
    <row r="34" customFormat="false" ht="15" hidden="false" customHeight="true" outlineLevel="0" collapsed="false">
      <c r="H34" s="10" t="s">
        <v>124</v>
      </c>
      <c r="I34" s="10"/>
      <c r="J34" s="10"/>
      <c r="K34" s="10"/>
      <c r="L34" s="10"/>
      <c r="M34" s="10"/>
      <c r="N34" s="10"/>
      <c r="O34" s="10"/>
      <c r="P34" s="10"/>
      <c r="Q34" s="10"/>
    </row>
    <row r="35" customFormat="false" ht="15" hidden="false" customHeight="false" outlineLevel="0" collapsed="false">
      <c r="H35" s="10"/>
      <c r="I35" s="10"/>
      <c r="J35" s="10"/>
      <c r="K35" s="10"/>
      <c r="L35" s="10"/>
      <c r="M35" s="10"/>
      <c r="N35" s="10"/>
      <c r="O35" s="10"/>
      <c r="P35" s="10"/>
      <c r="Q35" s="10"/>
    </row>
    <row r="36" customFormat="false" ht="15" hidden="false" customHeight="true" outlineLevel="0" collapsed="false">
      <c r="H36" s="10" t="s">
        <v>125</v>
      </c>
      <c r="I36" s="10"/>
      <c r="J36" s="10"/>
      <c r="K36" s="10"/>
      <c r="L36" s="10"/>
      <c r="M36" s="10"/>
      <c r="N36" s="10"/>
      <c r="O36" s="10"/>
      <c r="P36" s="10"/>
      <c r="Q36" s="10"/>
    </row>
    <row r="37" customFormat="false" ht="15" hidden="false" customHeight="true" outlineLevel="0" collapsed="false">
      <c r="H37" s="10" t="s">
        <v>126</v>
      </c>
      <c r="I37" s="10"/>
      <c r="J37" s="10"/>
      <c r="K37" s="10"/>
      <c r="L37" s="10"/>
      <c r="M37" s="10"/>
      <c r="N37" s="10"/>
      <c r="O37" s="10"/>
      <c r="P37" s="10"/>
      <c r="Q37" s="10"/>
    </row>
    <row r="38" customFormat="false" ht="15" hidden="false" customHeight="false" outlineLevel="0" collapsed="false">
      <c r="H38" s="10"/>
      <c r="I38" s="10"/>
      <c r="J38" s="10"/>
      <c r="K38" s="10"/>
      <c r="L38" s="10"/>
      <c r="M38" s="10"/>
      <c r="N38" s="10"/>
      <c r="O38" s="10"/>
      <c r="P38" s="10"/>
      <c r="Q38" s="10"/>
    </row>
  </sheetData>
  <mergeCells count="10">
    <mergeCell ref="A1:Q1"/>
    <mergeCell ref="A2:Q2"/>
    <mergeCell ref="H5:Q5"/>
    <mergeCell ref="H6:Q7"/>
    <mergeCell ref="H8:Q9"/>
    <mergeCell ref="H10:Q11"/>
    <mergeCell ref="H12:Q12"/>
    <mergeCell ref="H34:Q35"/>
    <mergeCell ref="H36:Q36"/>
    <mergeCell ref="H37:Q38"/>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38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6" min="2" style="0" width="17"/>
    <col collapsed="false" customWidth="true" hidden="false" outlineLevel="0" max="7" min="7" style="0" width="3"/>
    <col collapsed="false" customWidth="true" hidden="false" outlineLevel="0" max="17" min="8" style="0" width="11"/>
  </cols>
  <sheetData>
    <row r="1" customFormat="false" ht="31.5" hidden="false" customHeight="true" outlineLevel="0" collapsed="false">
      <c r="A1" s="1" t="s">
        <v>127</v>
      </c>
      <c r="B1" s="1"/>
      <c r="C1" s="1"/>
      <c r="D1" s="1"/>
      <c r="E1" s="1"/>
      <c r="F1" s="1"/>
      <c r="G1" s="1"/>
      <c r="H1" s="1"/>
      <c r="I1" s="1"/>
      <c r="J1" s="1"/>
      <c r="K1" s="1"/>
      <c r="L1" s="1"/>
      <c r="M1" s="1"/>
      <c r="N1" s="1"/>
      <c r="O1" s="1"/>
      <c r="P1" s="1"/>
      <c r="Q1" s="1"/>
    </row>
    <row r="2" customFormat="false" ht="31.5" hidden="false" customHeight="true" outlineLevel="0" collapsed="false">
      <c r="A2" s="2" t="s">
        <v>128</v>
      </c>
      <c r="B2" s="2"/>
      <c r="C2" s="2"/>
      <c r="D2" s="2"/>
      <c r="E2" s="2"/>
      <c r="F2" s="2"/>
      <c r="G2" s="2"/>
      <c r="H2" s="2"/>
      <c r="I2" s="2"/>
      <c r="J2" s="2"/>
      <c r="K2" s="2"/>
      <c r="L2" s="2"/>
      <c r="M2" s="2"/>
      <c r="N2" s="2"/>
      <c r="O2" s="2"/>
      <c r="P2" s="2"/>
      <c r="Q2" s="2"/>
    </row>
    <row r="4" customFormat="false" ht="15" hidden="false" customHeight="false" outlineLevel="0" collapsed="false">
      <c r="A4" s="3" t="s">
        <v>44</v>
      </c>
      <c r="H4" s="3" t="s">
        <v>45</v>
      </c>
    </row>
    <row r="5" customFormat="false" ht="15" hidden="false" customHeight="true" outlineLevel="0" collapsed="false">
      <c r="A5" s="4" t="s">
        <v>129</v>
      </c>
      <c r="B5" s="5" t="n">
        <v>500000</v>
      </c>
      <c r="H5" s="10" t="s">
        <v>130</v>
      </c>
      <c r="I5" s="10"/>
      <c r="J5" s="10"/>
      <c r="K5" s="10"/>
      <c r="L5" s="10"/>
      <c r="M5" s="10"/>
      <c r="N5" s="10"/>
      <c r="O5" s="10"/>
      <c r="P5" s="10"/>
      <c r="Q5" s="10"/>
    </row>
    <row r="6" customFormat="false" ht="15" hidden="false" customHeight="false" outlineLevel="0" collapsed="false">
      <c r="A6" s="4" t="s">
        <v>131</v>
      </c>
      <c r="B6" s="19" t="n">
        <v>0.06</v>
      </c>
      <c r="H6" s="10"/>
      <c r="I6" s="10"/>
      <c r="J6" s="10"/>
      <c r="K6" s="10"/>
      <c r="L6" s="10"/>
      <c r="M6" s="10"/>
      <c r="N6" s="10"/>
      <c r="O6" s="10"/>
      <c r="P6" s="10"/>
      <c r="Q6" s="10"/>
    </row>
    <row r="7" customFormat="false" ht="15" hidden="false" customHeight="true" outlineLevel="0" collapsed="false">
      <c r="A7" s="4" t="s">
        <v>132</v>
      </c>
      <c r="B7" s="15" t="n">
        <v>30</v>
      </c>
      <c r="H7" s="10" t="s">
        <v>133</v>
      </c>
      <c r="I7" s="10"/>
      <c r="J7" s="10"/>
      <c r="K7" s="10"/>
      <c r="L7" s="10"/>
      <c r="M7" s="10"/>
      <c r="N7" s="10"/>
      <c r="O7" s="10"/>
      <c r="P7" s="10"/>
      <c r="Q7" s="10"/>
    </row>
    <row r="8" customFormat="false" ht="15" hidden="false" customHeight="true" outlineLevel="0" collapsed="false">
      <c r="A8" s="4" t="s">
        <v>134</v>
      </c>
      <c r="B8" s="15" t="n">
        <v>12</v>
      </c>
      <c r="H8" s="12" t="s">
        <v>135</v>
      </c>
      <c r="I8" s="12"/>
      <c r="J8" s="12"/>
      <c r="K8" s="12"/>
      <c r="L8" s="12"/>
      <c r="M8" s="12"/>
      <c r="N8" s="12"/>
      <c r="O8" s="12"/>
      <c r="P8" s="12"/>
      <c r="Q8" s="12"/>
    </row>
    <row r="9" customFormat="false" ht="15" hidden="false" customHeight="false" outlineLevel="0" collapsed="false">
      <c r="A9" s="4" t="s">
        <v>136</v>
      </c>
      <c r="B9" s="5" t="n">
        <v>0</v>
      </c>
      <c r="H9" s="12"/>
      <c r="I9" s="12"/>
      <c r="J9" s="12"/>
      <c r="K9" s="12"/>
      <c r="L9" s="12"/>
      <c r="M9" s="12"/>
      <c r="N9" s="12"/>
      <c r="O9" s="12"/>
      <c r="P9" s="12"/>
      <c r="Q9" s="12"/>
    </row>
    <row r="10" customFormat="false" ht="15" hidden="false" customHeight="true" outlineLevel="0" collapsed="false">
      <c r="H10" s="12" t="s">
        <v>137</v>
      </c>
      <c r="I10" s="12"/>
      <c r="J10" s="12"/>
      <c r="K10" s="12"/>
      <c r="L10" s="12"/>
      <c r="M10" s="12"/>
      <c r="N10" s="12"/>
      <c r="O10" s="12"/>
      <c r="P10" s="12"/>
      <c r="Q10" s="12"/>
    </row>
    <row r="11" customFormat="false" ht="15" hidden="false" customHeight="true" outlineLevel="0" collapsed="false">
      <c r="A11" s="3" t="s">
        <v>138</v>
      </c>
      <c r="H11" s="12" t="s">
        <v>139</v>
      </c>
      <c r="I11" s="12"/>
      <c r="J11" s="12"/>
      <c r="K11" s="12"/>
      <c r="L11" s="12"/>
      <c r="M11" s="12"/>
      <c r="N11" s="12"/>
      <c r="O11" s="12"/>
      <c r="P11" s="12"/>
      <c r="Q11" s="12"/>
    </row>
    <row r="12" customFormat="false" ht="15" hidden="false" customHeight="true" outlineLevel="0" collapsed="false">
      <c r="A12" s="4" t="s">
        <v>140</v>
      </c>
      <c r="B12" s="20" t="n">
        <f aca="false">B6/B8</f>
        <v>0.005</v>
      </c>
      <c r="H12" s="10" t="s">
        <v>141</v>
      </c>
      <c r="I12" s="10"/>
      <c r="J12" s="10"/>
      <c r="K12" s="10"/>
      <c r="L12" s="10"/>
      <c r="M12" s="10"/>
      <c r="N12" s="10"/>
      <c r="O12" s="10"/>
      <c r="P12" s="10"/>
      <c r="Q12" s="10"/>
    </row>
    <row r="13" customFormat="false" ht="15" hidden="false" customHeight="false" outlineLevel="0" collapsed="false">
      <c r="A13" s="4" t="s">
        <v>142</v>
      </c>
      <c r="B13" s="13" t="n">
        <f aca="false">B7*B8</f>
        <v>360</v>
      </c>
      <c r="H13" s="10"/>
      <c r="I13" s="10"/>
      <c r="J13" s="10"/>
      <c r="K13" s="10"/>
      <c r="L13" s="10"/>
      <c r="M13" s="10"/>
      <c r="N13" s="10"/>
      <c r="O13" s="10"/>
      <c r="P13" s="10"/>
      <c r="Q13" s="10"/>
    </row>
    <row r="14" customFormat="false" ht="15" hidden="false" customHeight="false" outlineLevel="0" collapsed="false">
      <c r="A14" s="4" t="s">
        <v>143</v>
      </c>
      <c r="B14" s="6" t="n">
        <f aca="false">ROUNDUP(-PMT(B12,B13,B5),2)</f>
        <v>2997.76</v>
      </c>
      <c r="H14" s="10"/>
      <c r="I14" s="10"/>
      <c r="J14" s="10"/>
      <c r="K14" s="10"/>
      <c r="L14" s="10"/>
      <c r="M14" s="10"/>
      <c r="N14" s="10"/>
      <c r="O14" s="10"/>
      <c r="P14" s="10"/>
      <c r="Q14" s="10"/>
    </row>
    <row r="15" customFormat="false" ht="15" hidden="false" customHeight="false" outlineLevel="0" collapsed="false">
      <c r="A15" s="4" t="s">
        <v>144</v>
      </c>
      <c r="B15" s="6" t="n">
        <f aca="false">B14+B9</f>
        <v>2997.76</v>
      </c>
    </row>
    <row r="16" customFormat="false" ht="15" hidden="false" customHeight="false" outlineLevel="0" collapsed="false">
      <c r="H16" s="3" t="s">
        <v>64</v>
      </c>
    </row>
    <row r="17" customFormat="false" ht="15" hidden="false" customHeight="true" outlineLevel="0" collapsed="false">
      <c r="A17" s="3" t="s">
        <v>50</v>
      </c>
      <c r="H17" s="10" t="s">
        <v>145</v>
      </c>
      <c r="I17" s="10"/>
      <c r="J17" s="10"/>
      <c r="K17" s="10"/>
      <c r="L17" s="10"/>
      <c r="M17" s="10"/>
      <c r="N17" s="10"/>
      <c r="O17" s="10"/>
      <c r="P17" s="10"/>
      <c r="Q17" s="10"/>
    </row>
    <row r="18" customFormat="false" ht="15" hidden="false" customHeight="true" outlineLevel="0" collapsed="false">
      <c r="A18" s="4" t="s">
        <v>146</v>
      </c>
      <c r="B18" s="13" t="n">
        <f aca="false">COUNTIF(D25:D384,"&gt;0")</f>
        <v>360</v>
      </c>
      <c r="H18" s="10" t="s">
        <v>147</v>
      </c>
      <c r="I18" s="10"/>
      <c r="J18" s="10"/>
      <c r="K18" s="10"/>
      <c r="L18" s="10"/>
      <c r="M18" s="10"/>
      <c r="N18" s="10"/>
      <c r="O18" s="10"/>
      <c r="P18" s="10"/>
      <c r="Q18" s="10"/>
    </row>
    <row r="19" customFormat="false" ht="15" hidden="false" customHeight="false" outlineLevel="0" collapsed="false">
      <c r="A19" s="4" t="s">
        <v>148</v>
      </c>
      <c r="B19" s="17" t="n">
        <f aca="false">B18/B8</f>
        <v>30</v>
      </c>
      <c r="H19" s="10"/>
      <c r="I19" s="10"/>
      <c r="J19" s="10"/>
      <c r="K19" s="10"/>
      <c r="L19" s="10"/>
      <c r="M19" s="10"/>
      <c r="N19" s="10"/>
      <c r="O19" s="10"/>
      <c r="P19" s="10"/>
      <c r="Q19" s="10"/>
    </row>
    <row r="20" customFormat="false" ht="15" hidden="false" customHeight="true" outlineLevel="0" collapsed="false">
      <c r="A20" s="4" t="s">
        <v>149</v>
      </c>
      <c r="B20" s="6" t="n">
        <f aca="false">SUM(D25:D384)</f>
        <v>1079186.19246877</v>
      </c>
      <c r="H20" s="10" t="s">
        <v>150</v>
      </c>
      <c r="I20" s="10"/>
      <c r="J20" s="10"/>
      <c r="K20" s="10"/>
      <c r="L20" s="10"/>
      <c r="M20" s="10"/>
      <c r="N20" s="10"/>
      <c r="O20" s="10"/>
      <c r="P20" s="10"/>
      <c r="Q20" s="10"/>
    </row>
    <row r="21" customFormat="false" ht="15" hidden="false" customHeight="true" outlineLevel="0" collapsed="false">
      <c r="A21" s="4" t="s">
        <v>151</v>
      </c>
      <c r="B21" s="6" t="n">
        <f aca="false">SUM(C25:C384)</f>
        <v>579186.192468768</v>
      </c>
      <c r="H21" s="10" t="s">
        <v>152</v>
      </c>
      <c r="I21" s="10"/>
      <c r="J21" s="10"/>
      <c r="K21" s="10"/>
      <c r="L21" s="10"/>
      <c r="M21" s="10"/>
      <c r="N21" s="10"/>
      <c r="O21" s="10"/>
      <c r="P21" s="10"/>
      <c r="Q21" s="10"/>
    </row>
    <row r="22" customFormat="false" ht="15" hidden="false" customHeight="false" outlineLevel="0" collapsed="false">
      <c r="A22" s="4" t="s">
        <v>153</v>
      </c>
      <c r="B22" s="8" t="str">
        <f aca="false">IF(F384&lt;0.005,"Yes","No – shorten the term")</f>
        <v>Yes</v>
      </c>
      <c r="H22" s="10"/>
      <c r="I22" s="10"/>
      <c r="J22" s="10"/>
      <c r="K22" s="10"/>
      <c r="L22" s="10"/>
      <c r="M22" s="10"/>
      <c r="N22" s="10"/>
      <c r="O22" s="10"/>
      <c r="P22" s="10"/>
      <c r="Q22" s="10"/>
    </row>
    <row r="24" customFormat="false" ht="31.5" hidden="false" customHeight="true" outlineLevel="0" collapsed="false">
      <c r="A24" s="7" t="s">
        <v>154</v>
      </c>
      <c r="B24" s="7" t="s">
        <v>155</v>
      </c>
      <c r="C24" s="7" t="s">
        <v>156</v>
      </c>
      <c r="D24" s="7" t="s">
        <v>157</v>
      </c>
      <c r="E24" s="7" t="s">
        <v>158</v>
      </c>
      <c r="F24" s="7" t="s">
        <v>159</v>
      </c>
    </row>
    <row r="25" customFormat="false" ht="15" hidden="false" customHeight="false" outlineLevel="0" collapsed="false">
      <c r="A25" s="13" t="n">
        <v>1</v>
      </c>
      <c r="B25" s="21" t="n">
        <f aca="false">$B$5</f>
        <v>500000</v>
      </c>
      <c r="C25" s="21" t="n">
        <f aca="false">B25*$B$12</f>
        <v>2500</v>
      </c>
      <c r="D25" s="21" t="n">
        <f aca="false">MIN($B$15,B25+C25)</f>
        <v>2997.76</v>
      </c>
      <c r="E25" s="21" t="n">
        <f aca="false">D25-C25</f>
        <v>497.76</v>
      </c>
      <c r="F25" s="21" t="n">
        <f aca="false">B25+C25-D25</f>
        <v>499502.24</v>
      </c>
    </row>
    <row r="26" customFormat="false" ht="15" hidden="false" customHeight="false" outlineLevel="0" collapsed="false">
      <c r="A26" s="13" t="n">
        <v>2</v>
      </c>
      <c r="B26" s="21" t="n">
        <f aca="false">F25</f>
        <v>499502.24</v>
      </c>
      <c r="C26" s="21" t="n">
        <f aca="false">B26*$B$12</f>
        <v>2497.5112</v>
      </c>
      <c r="D26" s="21" t="n">
        <f aca="false">MIN($B$15,B26+C26)</f>
        <v>2997.76</v>
      </c>
      <c r="E26" s="21" t="n">
        <f aca="false">D26-C26</f>
        <v>500.2488</v>
      </c>
      <c r="F26" s="21" t="n">
        <f aca="false">B26+C26-D26</f>
        <v>499001.9912</v>
      </c>
    </row>
    <row r="27" customFormat="false" ht="15" hidden="false" customHeight="false" outlineLevel="0" collapsed="false">
      <c r="A27" s="13" t="n">
        <v>3</v>
      </c>
      <c r="B27" s="21" t="n">
        <f aca="false">F26</f>
        <v>499001.9912</v>
      </c>
      <c r="C27" s="21" t="n">
        <f aca="false">B27*$B$12</f>
        <v>2495.009956</v>
      </c>
      <c r="D27" s="21" t="n">
        <f aca="false">MIN($B$15,B27+C27)</f>
        <v>2997.76</v>
      </c>
      <c r="E27" s="21" t="n">
        <f aca="false">D27-C27</f>
        <v>502.750044</v>
      </c>
      <c r="F27" s="21" t="n">
        <f aca="false">B27+C27-D27</f>
        <v>498499.241156</v>
      </c>
    </row>
    <row r="28" customFormat="false" ht="15" hidden="false" customHeight="false" outlineLevel="0" collapsed="false">
      <c r="A28" s="13" t="n">
        <v>4</v>
      </c>
      <c r="B28" s="21" t="n">
        <f aca="false">F27</f>
        <v>498499.241156</v>
      </c>
      <c r="C28" s="21" t="n">
        <f aca="false">B28*$B$12</f>
        <v>2492.49620578</v>
      </c>
      <c r="D28" s="21" t="n">
        <f aca="false">MIN($B$15,B28+C28)</f>
        <v>2997.76</v>
      </c>
      <c r="E28" s="21" t="n">
        <f aca="false">D28-C28</f>
        <v>505.26379422</v>
      </c>
      <c r="F28" s="21" t="n">
        <f aca="false">B28+C28-D28</f>
        <v>497993.97736178</v>
      </c>
    </row>
    <row r="29" customFormat="false" ht="15" hidden="false" customHeight="false" outlineLevel="0" collapsed="false">
      <c r="A29" s="13" t="n">
        <v>5</v>
      </c>
      <c r="B29" s="21" t="n">
        <f aca="false">F28</f>
        <v>497993.97736178</v>
      </c>
      <c r="C29" s="21" t="n">
        <f aca="false">B29*$B$12</f>
        <v>2489.9698868089</v>
      </c>
      <c r="D29" s="21" t="n">
        <f aca="false">MIN($B$15,B29+C29)</f>
        <v>2997.76</v>
      </c>
      <c r="E29" s="21" t="n">
        <f aca="false">D29-C29</f>
        <v>507.7901131911</v>
      </c>
      <c r="F29" s="21" t="n">
        <f aca="false">B29+C29-D29</f>
        <v>497486.187248589</v>
      </c>
    </row>
    <row r="30" customFormat="false" ht="15" hidden="false" customHeight="false" outlineLevel="0" collapsed="false">
      <c r="A30" s="13" t="n">
        <v>6</v>
      </c>
      <c r="B30" s="21" t="n">
        <f aca="false">F29</f>
        <v>497486.187248589</v>
      </c>
      <c r="C30" s="21" t="n">
        <f aca="false">B30*$B$12</f>
        <v>2487.43093624294</v>
      </c>
      <c r="D30" s="21" t="n">
        <f aca="false">MIN($B$15,B30+C30)</f>
        <v>2997.76</v>
      </c>
      <c r="E30" s="21" t="n">
        <f aca="false">D30-C30</f>
        <v>510.329063757056</v>
      </c>
      <c r="F30" s="21" t="n">
        <f aca="false">B30+C30-D30</f>
        <v>496975.858184832</v>
      </c>
    </row>
    <row r="31" customFormat="false" ht="15" hidden="false" customHeight="false" outlineLevel="0" collapsed="false">
      <c r="A31" s="13" t="n">
        <v>7</v>
      </c>
      <c r="B31" s="21" t="n">
        <f aca="false">F30</f>
        <v>496975.858184832</v>
      </c>
      <c r="C31" s="21" t="n">
        <f aca="false">B31*$B$12</f>
        <v>2484.87929092416</v>
      </c>
      <c r="D31" s="21" t="n">
        <f aca="false">MIN($B$15,B31+C31)</f>
        <v>2997.76</v>
      </c>
      <c r="E31" s="21" t="n">
        <f aca="false">D31-C31</f>
        <v>512.880709075841</v>
      </c>
      <c r="F31" s="21" t="n">
        <f aca="false">B31+C31-D31</f>
        <v>496462.977475756</v>
      </c>
    </row>
    <row r="32" customFormat="false" ht="15" hidden="false" customHeight="false" outlineLevel="0" collapsed="false">
      <c r="A32" s="13" t="n">
        <v>8</v>
      </c>
      <c r="B32" s="21" t="n">
        <f aca="false">F31</f>
        <v>496462.977475756</v>
      </c>
      <c r="C32" s="21" t="n">
        <f aca="false">B32*$B$12</f>
        <v>2482.31488737878</v>
      </c>
      <c r="D32" s="21" t="n">
        <f aca="false">MIN($B$15,B32+C32)</f>
        <v>2997.76</v>
      </c>
      <c r="E32" s="21" t="n">
        <f aca="false">D32-C32</f>
        <v>515.44511262122</v>
      </c>
      <c r="F32" s="21" t="n">
        <f aca="false">B32+C32-D32</f>
        <v>495947.532363135</v>
      </c>
    </row>
    <row r="33" customFormat="false" ht="15" hidden="false" customHeight="false" outlineLevel="0" collapsed="false">
      <c r="A33" s="13" t="n">
        <v>9</v>
      </c>
      <c r="B33" s="21" t="n">
        <f aca="false">F32</f>
        <v>495947.532363135</v>
      </c>
      <c r="C33" s="21" t="n">
        <f aca="false">B33*$B$12</f>
        <v>2479.73766181567</v>
      </c>
      <c r="D33" s="21" t="n">
        <f aca="false">MIN($B$15,B33+C33)</f>
        <v>2997.76</v>
      </c>
      <c r="E33" s="21" t="n">
        <f aca="false">D33-C33</f>
        <v>518.022338184327</v>
      </c>
      <c r="F33" s="21" t="n">
        <f aca="false">B33+C33-D33</f>
        <v>495429.51002495</v>
      </c>
    </row>
    <row r="34" customFormat="false" ht="15" hidden="false" customHeight="false" outlineLevel="0" collapsed="false">
      <c r="A34" s="13" t="n">
        <v>10</v>
      </c>
      <c r="B34" s="21" t="n">
        <f aca="false">F33</f>
        <v>495429.51002495</v>
      </c>
      <c r="C34" s="21" t="n">
        <f aca="false">B34*$B$12</f>
        <v>2477.14755012475</v>
      </c>
      <c r="D34" s="21" t="n">
        <f aca="false">MIN($B$15,B34+C34)</f>
        <v>2997.76</v>
      </c>
      <c r="E34" s="21" t="n">
        <f aca="false">D34-C34</f>
        <v>520.612449875248</v>
      </c>
      <c r="F34" s="21" t="n">
        <f aca="false">B34+C34-D34</f>
        <v>494908.897575075</v>
      </c>
    </row>
    <row r="35" customFormat="false" ht="15" hidden="false" customHeight="false" outlineLevel="0" collapsed="false">
      <c r="A35" s="13" t="n">
        <v>11</v>
      </c>
      <c r="B35" s="21" t="n">
        <f aca="false">F34</f>
        <v>494908.897575075</v>
      </c>
      <c r="C35" s="21" t="n">
        <f aca="false">B35*$B$12</f>
        <v>2474.54448787538</v>
      </c>
      <c r="D35" s="21" t="n">
        <f aca="false">MIN($B$15,B35+C35)</f>
        <v>2997.76</v>
      </c>
      <c r="E35" s="21" t="n">
        <f aca="false">D35-C35</f>
        <v>523.215512124625</v>
      </c>
      <c r="F35" s="21" t="n">
        <f aca="false">B35+C35-D35</f>
        <v>494385.68206295</v>
      </c>
    </row>
    <row r="36" customFormat="false" ht="15" hidden="false" customHeight="false" outlineLevel="0" collapsed="false">
      <c r="A36" s="13" t="n">
        <v>12</v>
      </c>
      <c r="B36" s="21" t="n">
        <f aca="false">F35</f>
        <v>494385.68206295</v>
      </c>
      <c r="C36" s="21" t="n">
        <f aca="false">B36*$B$12</f>
        <v>2471.92841031475</v>
      </c>
      <c r="D36" s="21" t="n">
        <f aca="false">MIN($B$15,B36+C36)</f>
        <v>2997.76</v>
      </c>
      <c r="E36" s="21" t="n">
        <f aca="false">D36-C36</f>
        <v>525.831589685248</v>
      </c>
      <c r="F36" s="21" t="n">
        <f aca="false">B36+C36-D36</f>
        <v>493859.850473265</v>
      </c>
    </row>
    <row r="37" customFormat="false" ht="15" hidden="false" customHeight="false" outlineLevel="0" collapsed="false">
      <c r="A37" s="13" t="n">
        <v>13</v>
      </c>
      <c r="B37" s="21" t="n">
        <f aca="false">F36</f>
        <v>493859.850473265</v>
      </c>
      <c r="C37" s="21" t="n">
        <f aca="false">B37*$B$12</f>
        <v>2469.29925236633</v>
      </c>
      <c r="D37" s="21" t="n">
        <f aca="false">MIN($B$15,B37+C37)</f>
        <v>2997.76</v>
      </c>
      <c r="E37" s="21" t="n">
        <f aca="false">D37-C37</f>
        <v>528.460747633674</v>
      </c>
      <c r="F37" s="21" t="n">
        <f aca="false">B37+C37-D37</f>
        <v>493331.389725632</v>
      </c>
    </row>
    <row r="38" customFormat="false" ht="15" hidden="false" customHeight="false" outlineLevel="0" collapsed="false">
      <c r="A38" s="13" t="n">
        <v>14</v>
      </c>
      <c r="B38" s="21" t="n">
        <f aca="false">F37</f>
        <v>493331.389725632</v>
      </c>
      <c r="C38" s="21" t="n">
        <f aca="false">B38*$B$12</f>
        <v>2466.65694862816</v>
      </c>
      <c r="D38" s="21" t="n">
        <f aca="false">MIN($B$15,B38+C38)</f>
        <v>2997.76</v>
      </c>
      <c r="E38" s="21" t="n">
        <f aca="false">D38-C38</f>
        <v>531.103051371842</v>
      </c>
      <c r="F38" s="21" t="n">
        <f aca="false">B38+C38-D38</f>
        <v>492800.28667426</v>
      </c>
    </row>
    <row r="39" customFormat="false" ht="15" hidden="false" customHeight="false" outlineLevel="0" collapsed="false">
      <c r="A39" s="13" t="n">
        <v>15</v>
      </c>
      <c r="B39" s="21" t="n">
        <f aca="false">F38</f>
        <v>492800.28667426</v>
      </c>
      <c r="C39" s="21" t="n">
        <f aca="false">B39*$B$12</f>
        <v>2464.0014333713</v>
      </c>
      <c r="D39" s="21" t="n">
        <f aca="false">MIN($B$15,B39+C39)</f>
        <v>2997.76</v>
      </c>
      <c r="E39" s="21" t="n">
        <f aca="false">D39-C39</f>
        <v>533.758566628702</v>
      </c>
      <c r="F39" s="21" t="n">
        <f aca="false">B39+C39-D39</f>
        <v>492266.528107631</v>
      </c>
    </row>
    <row r="40" customFormat="false" ht="15" hidden="false" customHeight="false" outlineLevel="0" collapsed="false">
      <c r="A40" s="13" t="n">
        <v>16</v>
      </c>
      <c r="B40" s="21" t="n">
        <f aca="false">F39</f>
        <v>492266.528107631</v>
      </c>
      <c r="C40" s="21" t="n">
        <f aca="false">B40*$B$12</f>
        <v>2461.33264053815</v>
      </c>
      <c r="D40" s="21" t="n">
        <f aca="false">MIN($B$15,B40+C40)</f>
        <v>2997.76</v>
      </c>
      <c r="E40" s="21" t="n">
        <f aca="false">D40-C40</f>
        <v>536.427359461846</v>
      </c>
      <c r="F40" s="21" t="n">
        <f aca="false">B40+C40-D40</f>
        <v>491730.100748169</v>
      </c>
    </row>
    <row r="41" customFormat="false" ht="15" hidden="false" customHeight="false" outlineLevel="0" collapsed="false">
      <c r="A41" s="13" t="n">
        <v>17</v>
      </c>
      <c r="B41" s="21" t="n">
        <f aca="false">F40</f>
        <v>491730.100748169</v>
      </c>
      <c r="C41" s="21" t="n">
        <f aca="false">B41*$B$12</f>
        <v>2458.65050374085</v>
      </c>
      <c r="D41" s="21" t="n">
        <f aca="false">MIN($B$15,B41+C41)</f>
        <v>2997.76</v>
      </c>
      <c r="E41" s="21" t="n">
        <f aca="false">D41-C41</f>
        <v>539.109496259155</v>
      </c>
      <c r="F41" s="21" t="n">
        <f aca="false">B41+C41-D41</f>
        <v>491190.99125191</v>
      </c>
    </row>
    <row r="42" customFormat="false" ht="15" hidden="false" customHeight="false" outlineLevel="0" collapsed="false">
      <c r="A42" s="13" t="n">
        <v>18</v>
      </c>
      <c r="B42" s="21" t="n">
        <f aca="false">F41</f>
        <v>491190.99125191</v>
      </c>
      <c r="C42" s="21" t="n">
        <f aca="false">B42*$B$12</f>
        <v>2455.95495625955</v>
      </c>
      <c r="D42" s="21" t="n">
        <f aca="false">MIN($B$15,B42+C42)</f>
        <v>2997.76</v>
      </c>
      <c r="E42" s="21" t="n">
        <f aca="false">D42-C42</f>
        <v>541.805043740451</v>
      </c>
      <c r="F42" s="21" t="n">
        <f aca="false">B42+C42-D42</f>
        <v>490649.186208169</v>
      </c>
    </row>
    <row r="43" customFormat="false" ht="15" hidden="false" customHeight="false" outlineLevel="0" collapsed="false">
      <c r="A43" s="13" t="n">
        <v>19</v>
      </c>
      <c r="B43" s="21" t="n">
        <f aca="false">F42</f>
        <v>490649.186208169</v>
      </c>
      <c r="C43" s="21" t="n">
        <f aca="false">B43*$B$12</f>
        <v>2453.24593104085</v>
      </c>
      <c r="D43" s="21" t="n">
        <f aca="false">MIN($B$15,B43+C43)</f>
        <v>2997.76</v>
      </c>
      <c r="E43" s="21" t="n">
        <f aca="false">D43-C43</f>
        <v>544.514068959153</v>
      </c>
      <c r="F43" s="21" t="n">
        <f aca="false">B43+C43-D43</f>
        <v>490104.67213921</v>
      </c>
    </row>
    <row r="44" customFormat="false" ht="15" hidden="false" customHeight="false" outlineLevel="0" collapsed="false">
      <c r="A44" s="13" t="n">
        <v>20</v>
      </c>
      <c r="B44" s="21" t="n">
        <f aca="false">F43</f>
        <v>490104.67213921</v>
      </c>
      <c r="C44" s="21" t="n">
        <f aca="false">B44*$B$12</f>
        <v>2450.52336069605</v>
      </c>
      <c r="D44" s="21" t="n">
        <f aca="false">MIN($B$15,B44+C44)</f>
        <v>2997.76</v>
      </c>
      <c r="E44" s="21" t="n">
        <f aca="false">D44-C44</f>
        <v>547.236639303949</v>
      </c>
      <c r="F44" s="21" t="n">
        <f aca="false">B44+C44-D44</f>
        <v>489557.435499906</v>
      </c>
    </row>
    <row r="45" customFormat="false" ht="15" hidden="false" customHeight="false" outlineLevel="0" collapsed="false">
      <c r="A45" s="13" t="n">
        <v>21</v>
      </c>
      <c r="B45" s="21" t="n">
        <f aca="false">F44</f>
        <v>489557.435499906</v>
      </c>
      <c r="C45" s="21" t="n">
        <f aca="false">B45*$B$12</f>
        <v>2447.78717749953</v>
      </c>
      <c r="D45" s="21" t="n">
        <f aca="false">MIN($B$15,B45+C45)</f>
        <v>2997.76</v>
      </c>
      <c r="E45" s="21" t="n">
        <f aca="false">D45-C45</f>
        <v>549.972822500469</v>
      </c>
      <c r="F45" s="21" t="n">
        <f aca="false">B45+C45-D45</f>
        <v>489007.462677406</v>
      </c>
    </row>
    <row r="46" customFormat="false" ht="15" hidden="false" customHeight="false" outlineLevel="0" collapsed="false">
      <c r="A46" s="13" t="n">
        <v>22</v>
      </c>
      <c r="B46" s="21" t="n">
        <f aca="false">F45</f>
        <v>489007.462677406</v>
      </c>
      <c r="C46" s="21" t="n">
        <f aca="false">B46*$B$12</f>
        <v>2445.03731338703</v>
      </c>
      <c r="D46" s="21" t="n">
        <f aca="false">MIN($B$15,B46+C46)</f>
        <v>2997.76</v>
      </c>
      <c r="E46" s="21" t="n">
        <f aca="false">D46-C46</f>
        <v>552.722686612971</v>
      </c>
      <c r="F46" s="21" t="n">
        <f aca="false">B46+C46-D46</f>
        <v>488454.739990793</v>
      </c>
    </row>
    <row r="47" customFormat="false" ht="15" hidden="false" customHeight="false" outlineLevel="0" collapsed="false">
      <c r="A47" s="13" t="n">
        <v>23</v>
      </c>
      <c r="B47" s="21" t="n">
        <f aca="false">F46</f>
        <v>488454.739990793</v>
      </c>
      <c r="C47" s="21" t="n">
        <f aca="false">B47*$B$12</f>
        <v>2442.27369995396</v>
      </c>
      <c r="D47" s="21" t="n">
        <f aca="false">MIN($B$15,B47+C47)</f>
        <v>2997.76</v>
      </c>
      <c r="E47" s="21" t="n">
        <f aca="false">D47-C47</f>
        <v>555.486300046036</v>
      </c>
      <c r="F47" s="21" t="n">
        <f aca="false">B47+C47-D47</f>
        <v>487899.253690747</v>
      </c>
    </row>
    <row r="48" customFormat="false" ht="15" hidden="false" customHeight="false" outlineLevel="0" collapsed="false">
      <c r="A48" s="13" t="n">
        <v>24</v>
      </c>
      <c r="B48" s="21" t="n">
        <f aca="false">F47</f>
        <v>487899.253690747</v>
      </c>
      <c r="C48" s="21" t="n">
        <f aca="false">B48*$B$12</f>
        <v>2439.49626845373</v>
      </c>
      <c r="D48" s="21" t="n">
        <f aca="false">MIN($B$15,B48+C48)</f>
        <v>2997.76</v>
      </c>
      <c r="E48" s="21" t="n">
        <f aca="false">D48-C48</f>
        <v>558.263731546266</v>
      </c>
      <c r="F48" s="21" t="n">
        <f aca="false">B48+C48-D48</f>
        <v>487340.989959201</v>
      </c>
    </row>
    <row r="49" customFormat="false" ht="15" hidden="false" customHeight="false" outlineLevel="0" collapsed="false">
      <c r="A49" s="13" t="n">
        <v>25</v>
      </c>
      <c r="B49" s="21" t="n">
        <f aca="false">F48</f>
        <v>487340.989959201</v>
      </c>
      <c r="C49" s="21" t="n">
        <f aca="false">B49*$B$12</f>
        <v>2436.704949796</v>
      </c>
      <c r="D49" s="21" t="n">
        <f aca="false">MIN($B$15,B49+C49)</f>
        <v>2997.76</v>
      </c>
      <c r="E49" s="21" t="n">
        <f aca="false">D49-C49</f>
        <v>561.055050203997</v>
      </c>
      <c r="F49" s="21" t="n">
        <f aca="false">B49+C49-D49</f>
        <v>486779.934908997</v>
      </c>
    </row>
    <row r="50" customFormat="false" ht="15" hidden="false" customHeight="false" outlineLevel="0" collapsed="false">
      <c r="A50" s="13" t="n">
        <v>26</v>
      </c>
      <c r="B50" s="21" t="n">
        <f aca="false">F49</f>
        <v>486779.934908997</v>
      </c>
      <c r="C50" s="21" t="n">
        <f aca="false">B50*$B$12</f>
        <v>2433.89967454498</v>
      </c>
      <c r="D50" s="21" t="n">
        <f aca="false">MIN($B$15,B50+C50)</f>
        <v>2997.76</v>
      </c>
      <c r="E50" s="21" t="n">
        <f aca="false">D50-C50</f>
        <v>563.860325455017</v>
      </c>
      <c r="F50" s="21" t="n">
        <f aca="false">B50+C50-D50</f>
        <v>486216.074583542</v>
      </c>
    </row>
    <row r="51" customFormat="false" ht="15" hidden="false" customHeight="false" outlineLevel="0" collapsed="false">
      <c r="A51" s="13" t="n">
        <v>27</v>
      </c>
      <c r="B51" s="21" t="n">
        <f aca="false">F50</f>
        <v>486216.074583542</v>
      </c>
      <c r="C51" s="21" t="n">
        <f aca="false">B51*$B$12</f>
        <v>2431.08037291771</v>
      </c>
      <c r="D51" s="21" t="n">
        <f aca="false">MIN($B$15,B51+C51)</f>
        <v>2997.76</v>
      </c>
      <c r="E51" s="21" t="n">
        <f aca="false">D51-C51</f>
        <v>566.679627082292</v>
      </c>
      <c r="F51" s="21" t="n">
        <f aca="false">B51+C51-D51</f>
        <v>485649.394956459</v>
      </c>
    </row>
    <row r="52" customFormat="false" ht="15" hidden="false" customHeight="false" outlineLevel="0" collapsed="false">
      <c r="A52" s="13" t="n">
        <v>28</v>
      </c>
      <c r="B52" s="21" t="n">
        <f aca="false">F51</f>
        <v>485649.394956459</v>
      </c>
      <c r="C52" s="21" t="n">
        <f aca="false">B52*$B$12</f>
        <v>2428.2469747823</v>
      </c>
      <c r="D52" s="21" t="n">
        <f aca="false">MIN($B$15,B52+C52)</f>
        <v>2997.76</v>
      </c>
      <c r="E52" s="21" t="n">
        <f aca="false">D52-C52</f>
        <v>569.513025217704</v>
      </c>
      <c r="F52" s="21" t="n">
        <f aca="false">B52+C52-D52</f>
        <v>485079.881931242</v>
      </c>
    </row>
    <row r="53" customFormat="false" ht="15" hidden="false" customHeight="false" outlineLevel="0" collapsed="false">
      <c r="A53" s="13" t="n">
        <v>29</v>
      </c>
      <c r="B53" s="21" t="n">
        <f aca="false">F52</f>
        <v>485079.881931242</v>
      </c>
      <c r="C53" s="21" t="n">
        <f aca="false">B53*$B$12</f>
        <v>2425.39940965621</v>
      </c>
      <c r="D53" s="21" t="n">
        <f aca="false">MIN($B$15,B53+C53)</f>
        <v>2997.76</v>
      </c>
      <c r="E53" s="21" t="n">
        <f aca="false">D53-C53</f>
        <v>572.360590343792</v>
      </c>
      <c r="F53" s="21" t="n">
        <f aca="false">B53+C53-D53</f>
        <v>484507.521340898</v>
      </c>
    </row>
    <row r="54" customFormat="false" ht="15" hidden="false" customHeight="false" outlineLevel="0" collapsed="false">
      <c r="A54" s="13" t="n">
        <v>30</v>
      </c>
      <c r="B54" s="21" t="n">
        <f aca="false">F53</f>
        <v>484507.521340898</v>
      </c>
      <c r="C54" s="21" t="n">
        <f aca="false">B54*$B$12</f>
        <v>2422.53760670449</v>
      </c>
      <c r="D54" s="21" t="n">
        <f aca="false">MIN($B$15,B54+C54)</f>
        <v>2997.76</v>
      </c>
      <c r="E54" s="21" t="n">
        <f aca="false">D54-C54</f>
        <v>575.222393295512</v>
      </c>
      <c r="F54" s="21" t="n">
        <f aca="false">B54+C54-D54</f>
        <v>483932.298947602</v>
      </c>
    </row>
    <row r="55" customFormat="false" ht="15" hidden="false" customHeight="false" outlineLevel="0" collapsed="false">
      <c r="A55" s="13" t="n">
        <v>31</v>
      </c>
      <c r="B55" s="21" t="n">
        <f aca="false">F54</f>
        <v>483932.298947602</v>
      </c>
      <c r="C55" s="21" t="n">
        <f aca="false">B55*$B$12</f>
        <v>2419.66149473801</v>
      </c>
      <c r="D55" s="21" t="n">
        <f aca="false">MIN($B$15,B55+C55)</f>
        <v>2997.76</v>
      </c>
      <c r="E55" s="21" t="n">
        <f aca="false">D55-C55</f>
        <v>578.098505261989</v>
      </c>
      <c r="F55" s="21" t="n">
        <f aca="false">B55+C55-D55</f>
        <v>483354.20044234</v>
      </c>
    </row>
    <row r="56" customFormat="false" ht="15" hidden="false" customHeight="false" outlineLevel="0" collapsed="false">
      <c r="A56" s="13" t="n">
        <v>32</v>
      </c>
      <c r="B56" s="21" t="n">
        <f aca="false">F55</f>
        <v>483354.20044234</v>
      </c>
      <c r="C56" s="21" t="n">
        <f aca="false">B56*$B$12</f>
        <v>2416.7710022117</v>
      </c>
      <c r="D56" s="21" t="n">
        <f aca="false">MIN($B$15,B56+C56)</f>
        <v>2997.76</v>
      </c>
      <c r="E56" s="21" t="n">
        <f aca="false">D56-C56</f>
        <v>580.988997788299</v>
      </c>
      <c r="F56" s="21" t="n">
        <f aca="false">B56+C56-D56</f>
        <v>482773.211444552</v>
      </c>
    </row>
    <row r="57" customFormat="false" ht="15" hidden="false" customHeight="false" outlineLevel="0" collapsed="false">
      <c r="A57" s="13" t="n">
        <v>33</v>
      </c>
      <c r="B57" s="21" t="n">
        <f aca="false">F56</f>
        <v>482773.211444552</v>
      </c>
      <c r="C57" s="21" t="n">
        <f aca="false">B57*$B$12</f>
        <v>2413.86605722276</v>
      </c>
      <c r="D57" s="21" t="n">
        <f aca="false">MIN($B$15,B57+C57)</f>
        <v>2997.76</v>
      </c>
      <c r="E57" s="21" t="n">
        <f aca="false">D57-C57</f>
        <v>583.893942777241</v>
      </c>
      <c r="F57" s="21" t="n">
        <f aca="false">B57+C57-D57</f>
        <v>482189.317501775</v>
      </c>
    </row>
    <row r="58" customFormat="false" ht="15" hidden="false" customHeight="false" outlineLevel="0" collapsed="false">
      <c r="A58" s="13" t="n">
        <v>34</v>
      </c>
      <c r="B58" s="21" t="n">
        <f aca="false">F57</f>
        <v>482189.317501775</v>
      </c>
      <c r="C58" s="21" t="n">
        <f aca="false">B58*$B$12</f>
        <v>2410.94658750887</v>
      </c>
      <c r="D58" s="21" t="n">
        <f aca="false">MIN($B$15,B58+C58)</f>
        <v>2997.76</v>
      </c>
      <c r="E58" s="21" t="n">
        <f aca="false">D58-C58</f>
        <v>586.813412491127</v>
      </c>
      <c r="F58" s="21" t="n">
        <f aca="false">B58+C58-D58</f>
        <v>481602.504089284</v>
      </c>
    </row>
    <row r="59" customFormat="false" ht="15" hidden="false" customHeight="false" outlineLevel="0" collapsed="false">
      <c r="A59" s="13" t="n">
        <v>35</v>
      </c>
      <c r="B59" s="21" t="n">
        <f aca="false">F58</f>
        <v>481602.504089284</v>
      </c>
      <c r="C59" s="21" t="n">
        <f aca="false">B59*$B$12</f>
        <v>2408.01252044642</v>
      </c>
      <c r="D59" s="21" t="n">
        <f aca="false">MIN($B$15,B59+C59)</f>
        <v>2997.76</v>
      </c>
      <c r="E59" s="21" t="n">
        <f aca="false">D59-C59</f>
        <v>589.747479553582</v>
      </c>
      <c r="F59" s="21" t="n">
        <f aca="false">B59+C59-D59</f>
        <v>481012.75660973</v>
      </c>
    </row>
    <row r="60" customFormat="false" ht="15" hidden="false" customHeight="false" outlineLevel="0" collapsed="false">
      <c r="A60" s="13" t="n">
        <v>36</v>
      </c>
      <c r="B60" s="21" t="n">
        <f aca="false">F59</f>
        <v>481012.75660973</v>
      </c>
      <c r="C60" s="21" t="n">
        <f aca="false">B60*$B$12</f>
        <v>2405.06378304865</v>
      </c>
      <c r="D60" s="21" t="n">
        <f aca="false">MIN($B$15,B60+C60)</f>
        <v>2997.76</v>
      </c>
      <c r="E60" s="21" t="n">
        <f aca="false">D60-C60</f>
        <v>592.69621695135</v>
      </c>
      <c r="F60" s="21" t="n">
        <f aca="false">B60+C60-D60</f>
        <v>480420.060392779</v>
      </c>
    </row>
    <row r="61" customFormat="false" ht="15" hidden="false" customHeight="false" outlineLevel="0" collapsed="false">
      <c r="A61" s="13" t="n">
        <v>37</v>
      </c>
      <c r="B61" s="21" t="n">
        <f aca="false">F60</f>
        <v>480420.060392779</v>
      </c>
      <c r="C61" s="21" t="n">
        <f aca="false">B61*$B$12</f>
        <v>2402.10030196389</v>
      </c>
      <c r="D61" s="21" t="n">
        <f aca="false">MIN($B$15,B61+C61)</f>
        <v>2997.76</v>
      </c>
      <c r="E61" s="21" t="n">
        <f aca="false">D61-C61</f>
        <v>595.659698036107</v>
      </c>
      <c r="F61" s="21" t="n">
        <f aca="false">B61+C61-D61</f>
        <v>479824.400694743</v>
      </c>
    </row>
    <row r="62" customFormat="false" ht="15" hidden="false" customHeight="false" outlineLevel="0" collapsed="false">
      <c r="A62" s="13" t="n">
        <v>38</v>
      </c>
      <c r="B62" s="21" t="n">
        <f aca="false">F61</f>
        <v>479824.400694743</v>
      </c>
      <c r="C62" s="21" t="n">
        <f aca="false">B62*$B$12</f>
        <v>2399.12200347371</v>
      </c>
      <c r="D62" s="21" t="n">
        <f aca="false">MIN($B$15,B62+C62)</f>
        <v>2997.76</v>
      </c>
      <c r="E62" s="21" t="n">
        <f aca="false">D62-C62</f>
        <v>598.637996526287</v>
      </c>
      <c r="F62" s="21" t="n">
        <f aca="false">B62+C62-D62</f>
        <v>479225.762698216</v>
      </c>
    </row>
    <row r="63" customFormat="false" ht="15" hidden="false" customHeight="false" outlineLevel="0" collapsed="false">
      <c r="A63" s="13" t="n">
        <v>39</v>
      </c>
      <c r="B63" s="21" t="n">
        <f aca="false">F62</f>
        <v>479225.762698216</v>
      </c>
      <c r="C63" s="21" t="n">
        <f aca="false">B63*$B$12</f>
        <v>2396.12881349108</v>
      </c>
      <c r="D63" s="21" t="n">
        <f aca="false">MIN($B$15,B63+C63)</f>
        <v>2997.76</v>
      </c>
      <c r="E63" s="21" t="n">
        <f aca="false">D63-C63</f>
        <v>601.631186508919</v>
      </c>
      <c r="F63" s="21" t="n">
        <f aca="false">B63+C63-D63</f>
        <v>478624.131511707</v>
      </c>
    </row>
    <row r="64" customFormat="false" ht="15" hidden="false" customHeight="false" outlineLevel="0" collapsed="false">
      <c r="A64" s="13" t="n">
        <v>40</v>
      </c>
      <c r="B64" s="21" t="n">
        <f aca="false">F63</f>
        <v>478624.131511707</v>
      </c>
      <c r="C64" s="21" t="n">
        <f aca="false">B64*$B$12</f>
        <v>2393.12065755854</v>
      </c>
      <c r="D64" s="21" t="n">
        <f aca="false">MIN($B$15,B64+C64)</f>
        <v>2997.76</v>
      </c>
      <c r="E64" s="21" t="n">
        <f aca="false">D64-C64</f>
        <v>604.639342441464</v>
      </c>
      <c r="F64" s="21" t="n">
        <f aca="false">B64+C64-D64</f>
        <v>478019.492169266</v>
      </c>
    </row>
    <row r="65" customFormat="false" ht="15" hidden="false" customHeight="false" outlineLevel="0" collapsed="false">
      <c r="A65" s="13" t="n">
        <v>41</v>
      </c>
      <c r="B65" s="21" t="n">
        <f aca="false">F64</f>
        <v>478019.492169266</v>
      </c>
      <c r="C65" s="21" t="n">
        <f aca="false">B65*$B$12</f>
        <v>2390.09746084633</v>
      </c>
      <c r="D65" s="21" t="n">
        <f aca="false">MIN($B$15,B65+C65)</f>
        <v>2997.76</v>
      </c>
      <c r="E65" s="21" t="n">
        <f aca="false">D65-C65</f>
        <v>607.662539153671</v>
      </c>
      <c r="F65" s="21" t="n">
        <f aca="false">B65+C65-D65</f>
        <v>477411.829630112</v>
      </c>
    </row>
    <row r="66" customFormat="false" ht="15" hidden="false" customHeight="false" outlineLevel="0" collapsed="false">
      <c r="A66" s="13" t="n">
        <v>42</v>
      </c>
      <c r="B66" s="21" t="n">
        <f aca="false">F65</f>
        <v>477411.829630112</v>
      </c>
      <c r="C66" s="21" t="n">
        <f aca="false">B66*$B$12</f>
        <v>2387.05914815056</v>
      </c>
      <c r="D66" s="21" t="n">
        <f aca="false">MIN($B$15,B66+C66)</f>
        <v>2997.76</v>
      </c>
      <c r="E66" s="21" t="n">
        <f aca="false">D66-C66</f>
        <v>610.70085184944</v>
      </c>
      <c r="F66" s="21" t="n">
        <f aca="false">B66+C66-D66</f>
        <v>476801.128778263</v>
      </c>
    </row>
    <row r="67" customFormat="false" ht="15" hidden="false" customHeight="false" outlineLevel="0" collapsed="false">
      <c r="A67" s="13" t="n">
        <v>43</v>
      </c>
      <c r="B67" s="21" t="n">
        <f aca="false">F66</f>
        <v>476801.128778263</v>
      </c>
      <c r="C67" s="21" t="n">
        <f aca="false">B67*$B$12</f>
        <v>2384.00564389131</v>
      </c>
      <c r="D67" s="21" t="n">
        <f aca="false">MIN($B$15,B67+C67)</f>
        <v>2997.76</v>
      </c>
      <c r="E67" s="21" t="n">
        <f aca="false">D67-C67</f>
        <v>613.754356108687</v>
      </c>
      <c r="F67" s="21" t="n">
        <f aca="false">B67+C67-D67</f>
        <v>476187.374422154</v>
      </c>
    </row>
    <row r="68" customFormat="false" ht="15" hidden="false" customHeight="false" outlineLevel="0" collapsed="false">
      <c r="A68" s="13" t="n">
        <v>44</v>
      </c>
      <c r="B68" s="21" t="n">
        <f aca="false">F67</f>
        <v>476187.374422154</v>
      </c>
      <c r="C68" s="21" t="n">
        <f aca="false">B68*$B$12</f>
        <v>2380.93687211077</v>
      </c>
      <c r="D68" s="21" t="n">
        <f aca="false">MIN($B$15,B68+C68)</f>
        <v>2997.76</v>
      </c>
      <c r="E68" s="21" t="n">
        <f aca="false">D68-C68</f>
        <v>616.82312788923</v>
      </c>
      <c r="F68" s="21" t="n">
        <f aca="false">B68+C68-D68</f>
        <v>475570.551294265</v>
      </c>
    </row>
    <row r="69" customFormat="false" ht="15" hidden="false" customHeight="false" outlineLevel="0" collapsed="false">
      <c r="A69" s="13" t="n">
        <v>45</v>
      </c>
      <c r="B69" s="21" t="n">
        <f aca="false">F68</f>
        <v>475570.551294265</v>
      </c>
      <c r="C69" s="21" t="n">
        <f aca="false">B69*$B$12</f>
        <v>2377.85275647132</v>
      </c>
      <c r="D69" s="21" t="n">
        <f aca="false">MIN($B$15,B69+C69)</f>
        <v>2997.76</v>
      </c>
      <c r="E69" s="21" t="n">
        <f aca="false">D69-C69</f>
        <v>619.907243528677</v>
      </c>
      <c r="F69" s="21" t="n">
        <f aca="false">B69+C69-D69</f>
        <v>474950.644050736</v>
      </c>
    </row>
    <row r="70" customFormat="false" ht="15" hidden="false" customHeight="false" outlineLevel="0" collapsed="false">
      <c r="A70" s="13" t="n">
        <v>46</v>
      </c>
      <c r="B70" s="21" t="n">
        <f aca="false">F69</f>
        <v>474950.644050736</v>
      </c>
      <c r="C70" s="21" t="n">
        <f aca="false">B70*$B$12</f>
        <v>2374.75322025368</v>
      </c>
      <c r="D70" s="21" t="n">
        <f aca="false">MIN($B$15,B70+C70)</f>
        <v>2997.76</v>
      </c>
      <c r="E70" s="21" t="n">
        <f aca="false">D70-C70</f>
        <v>623.00677974632</v>
      </c>
      <c r="F70" s="21" t="n">
        <f aca="false">B70+C70-D70</f>
        <v>474327.63727099</v>
      </c>
    </row>
    <row r="71" customFormat="false" ht="15" hidden="false" customHeight="false" outlineLevel="0" collapsed="false">
      <c r="A71" s="13" t="n">
        <v>47</v>
      </c>
      <c r="B71" s="21" t="n">
        <f aca="false">F70</f>
        <v>474327.63727099</v>
      </c>
      <c r="C71" s="21" t="n">
        <f aca="false">B71*$B$12</f>
        <v>2371.63818635495</v>
      </c>
      <c r="D71" s="21" t="n">
        <f aca="false">MIN($B$15,B71+C71)</f>
        <v>2997.76</v>
      </c>
      <c r="E71" s="21" t="n">
        <f aca="false">D71-C71</f>
        <v>626.121813645052</v>
      </c>
      <c r="F71" s="21" t="n">
        <f aca="false">B71+C71-D71</f>
        <v>473701.515457345</v>
      </c>
    </row>
    <row r="72" customFormat="false" ht="15" hidden="false" customHeight="false" outlineLevel="0" collapsed="false">
      <c r="A72" s="13" t="n">
        <v>48</v>
      </c>
      <c r="B72" s="21" t="n">
        <f aca="false">F71</f>
        <v>473701.515457345</v>
      </c>
      <c r="C72" s="21" t="n">
        <f aca="false">B72*$B$12</f>
        <v>2368.50757728672</v>
      </c>
      <c r="D72" s="21" t="n">
        <f aca="false">MIN($B$15,B72+C72)</f>
        <v>2997.76</v>
      </c>
      <c r="E72" s="21" t="n">
        <f aca="false">D72-C72</f>
        <v>629.252422713277</v>
      </c>
      <c r="F72" s="21" t="n">
        <f aca="false">B72+C72-D72</f>
        <v>473072.263034631</v>
      </c>
    </row>
    <row r="73" customFormat="false" ht="15" hidden="false" customHeight="false" outlineLevel="0" collapsed="false">
      <c r="A73" s="13" t="n">
        <v>49</v>
      </c>
      <c r="B73" s="21" t="n">
        <f aca="false">F72</f>
        <v>473072.263034631</v>
      </c>
      <c r="C73" s="21" t="n">
        <f aca="false">B73*$B$12</f>
        <v>2365.36131517316</v>
      </c>
      <c r="D73" s="21" t="n">
        <f aca="false">MIN($B$15,B73+C73)</f>
        <v>2997.76</v>
      </c>
      <c r="E73" s="21" t="n">
        <f aca="false">D73-C73</f>
        <v>632.398684826843</v>
      </c>
      <c r="F73" s="21" t="n">
        <f aca="false">B73+C73-D73</f>
        <v>472439.864349805</v>
      </c>
    </row>
    <row r="74" customFormat="false" ht="15" hidden="false" customHeight="false" outlineLevel="0" collapsed="false">
      <c r="A74" s="13" t="n">
        <v>50</v>
      </c>
      <c r="B74" s="21" t="n">
        <f aca="false">F73</f>
        <v>472439.864349805</v>
      </c>
      <c r="C74" s="21" t="n">
        <f aca="false">B74*$B$12</f>
        <v>2362.19932174902</v>
      </c>
      <c r="D74" s="21" t="n">
        <f aca="false">MIN($B$15,B74+C74)</f>
        <v>2997.76</v>
      </c>
      <c r="E74" s="21" t="n">
        <f aca="false">D74-C74</f>
        <v>635.560678250978</v>
      </c>
      <c r="F74" s="21" t="n">
        <f aca="false">B74+C74-D74</f>
        <v>471804.303671554</v>
      </c>
    </row>
    <row r="75" customFormat="false" ht="15" hidden="false" customHeight="false" outlineLevel="0" collapsed="false">
      <c r="A75" s="13" t="n">
        <v>51</v>
      </c>
      <c r="B75" s="21" t="n">
        <f aca="false">F74</f>
        <v>471804.303671554</v>
      </c>
      <c r="C75" s="21" t="n">
        <f aca="false">B75*$B$12</f>
        <v>2359.02151835777</v>
      </c>
      <c r="D75" s="21" t="n">
        <f aca="false">MIN($B$15,B75+C75)</f>
        <v>2997.76</v>
      </c>
      <c r="E75" s="21" t="n">
        <f aca="false">D75-C75</f>
        <v>638.738481642232</v>
      </c>
      <c r="F75" s="21" t="n">
        <f aca="false">B75+C75-D75</f>
        <v>471165.565189911</v>
      </c>
    </row>
    <row r="76" customFormat="false" ht="15" hidden="false" customHeight="false" outlineLevel="0" collapsed="false">
      <c r="A76" s="13" t="n">
        <v>52</v>
      </c>
      <c r="B76" s="21" t="n">
        <f aca="false">F75</f>
        <v>471165.565189911</v>
      </c>
      <c r="C76" s="21" t="n">
        <f aca="false">B76*$B$12</f>
        <v>2355.82782594956</v>
      </c>
      <c r="D76" s="21" t="n">
        <f aca="false">MIN($B$15,B76+C76)</f>
        <v>2997.76</v>
      </c>
      <c r="E76" s="21" t="n">
        <f aca="false">D76-C76</f>
        <v>641.932174050443</v>
      </c>
      <c r="F76" s="21" t="n">
        <f aca="false">B76+C76-D76</f>
        <v>470523.633015861</v>
      </c>
    </row>
    <row r="77" customFormat="false" ht="15" hidden="false" customHeight="false" outlineLevel="0" collapsed="false">
      <c r="A77" s="13" t="n">
        <v>53</v>
      </c>
      <c r="B77" s="21" t="n">
        <f aca="false">F76</f>
        <v>470523.633015861</v>
      </c>
      <c r="C77" s="21" t="n">
        <f aca="false">B77*$B$12</f>
        <v>2352.6181650793</v>
      </c>
      <c r="D77" s="21" t="n">
        <f aca="false">MIN($B$15,B77+C77)</f>
        <v>2997.76</v>
      </c>
      <c r="E77" s="21" t="n">
        <f aca="false">D77-C77</f>
        <v>645.141834920696</v>
      </c>
      <c r="F77" s="21" t="n">
        <f aca="false">B77+C77-D77</f>
        <v>469878.49118094</v>
      </c>
    </row>
    <row r="78" customFormat="false" ht="15" hidden="false" customHeight="false" outlineLevel="0" collapsed="false">
      <c r="A78" s="13" t="n">
        <v>54</v>
      </c>
      <c r="B78" s="21" t="n">
        <f aca="false">F77</f>
        <v>469878.49118094</v>
      </c>
      <c r="C78" s="21" t="n">
        <f aca="false">B78*$B$12</f>
        <v>2349.3924559047</v>
      </c>
      <c r="D78" s="21" t="n">
        <f aca="false">MIN($B$15,B78+C78)</f>
        <v>2997.76</v>
      </c>
      <c r="E78" s="21" t="n">
        <f aca="false">D78-C78</f>
        <v>648.367544095299</v>
      </c>
      <c r="F78" s="21" t="n">
        <f aca="false">B78+C78-D78</f>
        <v>469230.123636845</v>
      </c>
    </row>
    <row r="79" customFormat="false" ht="15" hidden="false" customHeight="false" outlineLevel="0" collapsed="false">
      <c r="A79" s="13" t="n">
        <v>55</v>
      </c>
      <c r="B79" s="21" t="n">
        <f aca="false">F78</f>
        <v>469230.123636845</v>
      </c>
      <c r="C79" s="21" t="n">
        <f aca="false">B79*$B$12</f>
        <v>2346.15061818422</v>
      </c>
      <c r="D79" s="21" t="n">
        <f aca="false">MIN($B$15,B79+C79)</f>
        <v>2997.76</v>
      </c>
      <c r="E79" s="21" t="n">
        <f aca="false">D79-C79</f>
        <v>651.609381815776</v>
      </c>
      <c r="F79" s="21" t="n">
        <f aca="false">B79+C79-D79</f>
        <v>468578.514255029</v>
      </c>
    </row>
    <row r="80" customFormat="false" ht="15" hidden="false" customHeight="false" outlineLevel="0" collapsed="false">
      <c r="A80" s="13" t="n">
        <v>56</v>
      </c>
      <c r="B80" s="21" t="n">
        <f aca="false">F79</f>
        <v>468578.514255029</v>
      </c>
      <c r="C80" s="21" t="n">
        <f aca="false">B80*$B$12</f>
        <v>2342.89257127515</v>
      </c>
      <c r="D80" s="21" t="n">
        <f aca="false">MIN($B$15,B80+C80)</f>
        <v>2997.76</v>
      </c>
      <c r="E80" s="21" t="n">
        <f aca="false">D80-C80</f>
        <v>654.867428724855</v>
      </c>
      <c r="F80" s="21" t="n">
        <f aca="false">B80+C80-D80</f>
        <v>467923.646826304</v>
      </c>
    </row>
    <row r="81" customFormat="false" ht="15" hidden="false" customHeight="false" outlineLevel="0" collapsed="false">
      <c r="A81" s="13" t="n">
        <v>57</v>
      </c>
      <c r="B81" s="21" t="n">
        <f aca="false">F80</f>
        <v>467923.646826304</v>
      </c>
      <c r="C81" s="21" t="n">
        <f aca="false">B81*$B$12</f>
        <v>2339.61823413152</v>
      </c>
      <c r="D81" s="21" t="n">
        <f aca="false">MIN($B$15,B81+C81)</f>
        <v>2997.76</v>
      </c>
      <c r="E81" s="21" t="n">
        <f aca="false">D81-C81</f>
        <v>658.141765868479</v>
      </c>
      <c r="F81" s="21" t="n">
        <f aca="false">B81+C81-D81</f>
        <v>467265.505060436</v>
      </c>
    </row>
    <row r="82" customFormat="false" ht="15" hidden="false" customHeight="false" outlineLevel="0" collapsed="false">
      <c r="A82" s="13" t="n">
        <v>58</v>
      </c>
      <c r="B82" s="21" t="n">
        <f aca="false">F81</f>
        <v>467265.505060436</v>
      </c>
      <c r="C82" s="21" t="n">
        <f aca="false">B82*$B$12</f>
        <v>2336.32752530218</v>
      </c>
      <c r="D82" s="21" t="n">
        <f aca="false">MIN($B$15,B82+C82)</f>
        <v>2997.76</v>
      </c>
      <c r="E82" s="21" t="n">
        <f aca="false">D82-C82</f>
        <v>661.432474697821</v>
      </c>
      <c r="F82" s="21" t="n">
        <f aca="false">B82+C82-D82</f>
        <v>466604.072585738</v>
      </c>
    </row>
    <row r="83" customFormat="false" ht="15" hidden="false" customHeight="false" outlineLevel="0" collapsed="false">
      <c r="A83" s="13" t="n">
        <v>59</v>
      </c>
      <c r="B83" s="21" t="n">
        <f aca="false">F82</f>
        <v>466604.072585738</v>
      </c>
      <c r="C83" s="21" t="n">
        <f aca="false">B83*$B$12</f>
        <v>2333.02036292869</v>
      </c>
      <c r="D83" s="21" t="n">
        <f aca="false">MIN($B$15,B83+C83)</f>
        <v>2997.76</v>
      </c>
      <c r="E83" s="21" t="n">
        <f aca="false">D83-C83</f>
        <v>664.73963707131</v>
      </c>
      <c r="F83" s="21" t="n">
        <f aca="false">B83+C83-D83</f>
        <v>465939.332948667</v>
      </c>
    </row>
    <row r="84" customFormat="false" ht="15" hidden="false" customHeight="false" outlineLevel="0" collapsed="false">
      <c r="A84" s="13" t="n">
        <v>60</v>
      </c>
      <c r="B84" s="21" t="n">
        <f aca="false">F83</f>
        <v>465939.332948667</v>
      </c>
      <c r="C84" s="21" t="n">
        <f aca="false">B84*$B$12</f>
        <v>2329.69666474333</v>
      </c>
      <c r="D84" s="21" t="n">
        <f aca="false">MIN($B$15,B84+C84)</f>
        <v>2997.76</v>
      </c>
      <c r="E84" s="21" t="n">
        <f aca="false">D84-C84</f>
        <v>668.063335256667</v>
      </c>
      <c r="F84" s="21" t="n">
        <f aca="false">B84+C84-D84</f>
        <v>465271.26961341</v>
      </c>
    </row>
    <row r="85" customFormat="false" ht="15" hidden="false" customHeight="false" outlineLevel="0" collapsed="false">
      <c r="A85" s="13" t="n">
        <v>61</v>
      </c>
      <c r="B85" s="21" t="n">
        <f aca="false">F84</f>
        <v>465271.26961341</v>
      </c>
      <c r="C85" s="21" t="n">
        <f aca="false">B85*$B$12</f>
        <v>2326.35634806705</v>
      </c>
      <c r="D85" s="21" t="n">
        <f aca="false">MIN($B$15,B85+C85)</f>
        <v>2997.76</v>
      </c>
      <c r="E85" s="21" t="n">
        <f aca="false">D85-C85</f>
        <v>671.40365193295</v>
      </c>
      <c r="F85" s="21" t="n">
        <f aca="false">B85+C85-D85</f>
        <v>464599.865961477</v>
      </c>
    </row>
    <row r="86" customFormat="false" ht="15" hidden="false" customHeight="false" outlineLevel="0" collapsed="false">
      <c r="A86" s="13" t="n">
        <v>62</v>
      </c>
      <c r="B86" s="21" t="n">
        <f aca="false">F85</f>
        <v>464599.865961477</v>
      </c>
      <c r="C86" s="21" t="n">
        <f aca="false">B86*$B$12</f>
        <v>2322.99932980739</v>
      </c>
      <c r="D86" s="21" t="n">
        <f aca="false">MIN($B$15,B86+C86)</f>
        <v>2997.76</v>
      </c>
      <c r="E86" s="21" t="n">
        <f aca="false">D86-C86</f>
        <v>674.760670192615</v>
      </c>
      <c r="F86" s="21" t="n">
        <f aca="false">B86+C86-D86</f>
        <v>463925.105291284</v>
      </c>
    </row>
    <row r="87" customFormat="false" ht="15" hidden="false" customHeight="false" outlineLevel="0" collapsed="false">
      <c r="A87" s="13" t="n">
        <v>63</v>
      </c>
      <c r="B87" s="21" t="n">
        <f aca="false">F86</f>
        <v>463925.105291284</v>
      </c>
      <c r="C87" s="21" t="n">
        <f aca="false">B87*$B$12</f>
        <v>2319.62552645642</v>
      </c>
      <c r="D87" s="21" t="n">
        <f aca="false">MIN($B$15,B87+C87)</f>
        <v>2997.76</v>
      </c>
      <c r="E87" s="21" t="n">
        <f aca="false">D87-C87</f>
        <v>678.134473543578</v>
      </c>
      <c r="F87" s="21" t="n">
        <f aca="false">B87+C87-D87</f>
        <v>463246.970817741</v>
      </c>
    </row>
    <row r="88" customFormat="false" ht="15" hidden="false" customHeight="false" outlineLevel="0" collapsed="false">
      <c r="A88" s="13" t="n">
        <v>64</v>
      </c>
      <c r="B88" s="21" t="n">
        <f aca="false">F87</f>
        <v>463246.970817741</v>
      </c>
      <c r="C88" s="21" t="n">
        <f aca="false">B88*$B$12</f>
        <v>2316.2348540887</v>
      </c>
      <c r="D88" s="21" t="n">
        <f aca="false">MIN($B$15,B88+C88)</f>
        <v>2997.76</v>
      </c>
      <c r="E88" s="21" t="n">
        <f aca="false">D88-C88</f>
        <v>681.525145911296</v>
      </c>
      <c r="F88" s="21" t="n">
        <f aca="false">B88+C88-D88</f>
        <v>462565.44567183</v>
      </c>
    </row>
    <row r="89" customFormat="false" ht="15" hidden="false" customHeight="false" outlineLevel="0" collapsed="false">
      <c r="A89" s="13" t="n">
        <v>65</v>
      </c>
      <c r="B89" s="21" t="n">
        <f aca="false">F88</f>
        <v>462565.44567183</v>
      </c>
      <c r="C89" s="21" t="n">
        <f aca="false">B89*$B$12</f>
        <v>2312.82722835915</v>
      </c>
      <c r="D89" s="21" t="n">
        <f aca="false">MIN($B$15,B89+C89)</f>
        <v>2997.76</v>
      </c>
      <c r="E89" s="21" t="n">
        <f aca="false">D89-C89</f>
        <v>684.932771640853</v>
      </c>
      <c r="F89" s="21" t="n">
        <f aca="false">B89+C89-D89</f>
        <v>461880.512900189</v>
      </c>
    </row>
    <row r="90" customFormat="false" ht="15" hidden="false" customHeight="false" outlineLevel="0" collapsed="false">
      <c r="A90" s="13" t="n">
        <v>66</v>
      </c>
      <c r="B90" s="21" t="n">
        <f aca="false">F89</f>
        <v>461880.512900189</v>
      </c>
      <c r="C90" s="21" t="n">
        <f aca="false">B90*$B$12</f>
        <v>2309.40256450094</v>
      </c>
      <c r="D90" s="21" t="n">
        <f aca="false">MIN($B$15,B90+C90)</f>
        <v>2997.76</v>
      </c>
      <c r="E90" s="21" t="n">
        <f aca="false">D90-C90</f>
        <v>688.357435499057</v>
      </c>
      <c r="F90" s="21" t="n">
        <f aca="false">B90+C90-D90</f>
        <v>461192.15546469</v>
      </c>
    </row>
    <row r="91" customFormat="false" ht="15" hidden="false" customHeight="false" outlineLevel="0" collapsed="false">
      <c r="A91" s="13" t="n">
        <v>67</v>
      </c>
      <c r="B91" s="21" t="n">
        <f aca="false">F90</f>
        <v>461192.15546469</v>
      </c>
      <c r="C91" s="21" t="n">
        <f aca="false">B91*$B$12</f>
        <v>2305.96077732345</v>
      </c>
      <c r="D91" s="21" t="n">
        <f aca="false">MIN($B$15,B91+C91)</f>
        <v>2997.76</v>
      </c>
      <c r="E91" s="21" t="n">
        <f aca="false">D91-C91</f>
        <v>691.799222676552</v>
      </c>
      <c r="F91" s="21" t="n">
        <f aca="false">B91+C91-D91</f>
        <v>460500.356242013</v>
      </c>
    </row>
    <row r="92" customFormat="false" ht="15" hidden="false" customHeight="false" outlineLevel="0" collapsed="false">
      <c r="A92" s="13" t="n">
        <v>68</v>
      </c>
      <c r="B92" s="21" t="n">
        <f aca="false">F91</f>
        <v>460500.356242013</v>
      </c>
      <c r="C92" s="21" t="n">
        <f aca="false">B92*$B$12</f>
        <v>2302.50178121007</v>
      </c>
      <c r="D92" s="21" t="n">
        <f aca="false">MIN($B$15,B92+C92)</f>
        <v>2997.76</v>
      </c>
      <c r="E92" s="21" t="n">
        <f aca="false">D92-C92</f>
        <v>695.258218789935</v>
      </c>
      <c r="F92" s="21" t="n">
        <f aca="false">B92+C92-D92</f>
        <v>459805.098023223</v>
      </c>
    </row>
    <row r="93" customFormat="false" ht="15" hidden="false" customHeight="false" outlineLevel="0" collapsed="false">
      <c r="A93" s="13" t="n">
        <v>69</v>
      </c>
      <c r="B93" s="21" t="n">
        <f aca="false">F92</f>
        <v>459805.098023223</v>
      </c>
      <c r="C93" s="21" t="n">
        <f aca="false">B93*$B$12</f>
        <v>2299.02549011612</v>
      </c>
      <c r="D93" s="21" t="n">
        <f aca="false">MIN($B$15,B93+C93)</f>
        <v>2997.76</v>
      </c>
      <c r="E93" s="21" t="n">
        <f aca="false">D93-C93</f>
        <v>698.734509883885</v>
      </c>
      <c r="F93" s="21" t="n">
        <f aca="false">B93+C93-D93</f>
        <v>459106.363513339</v>
      </c>
    </row>
    <row r="94" customFormat="false" ht="15" hidden="false" customHeight="false" outlineLevel="0" collapsed="false">
      <c r="A94" s="13" t="n">
        <v>70</v>
      </c>
      <c r="B94" s="21" t="n">
        <f aca="false">F93</f>
        <v>459106.363513339</v>
      </c>
      <c r="C94" s="21" t="n">
        <f aca="false">B94*$B$12</f>
        <v>2295.5318175667</v>
      </c>
      <c r="D94" s="21" t="n">
        <f aca="false">MIN($B$15,B94+C94)</f>
        <v>2997.76</v>
      </c>
      <c r="E94" s="21" t="n">
        <f aca="false">D94-C94</f>
        <v>702.228182433305</v>
      </c>
      <c r="F94" s="21" t="n">
        <f aca="false">B94+C94-D94</f>
        <v>458404.135330906</v>
      </c>
    </row>
    <row r="95" customFormat="false" ht="15" hidden="false" customHeight="false" outlineLevel="0" collapsed="false">
      <c r="A95" s="13" t="n">
        <v>71</v>
      </c>
      <c r="B95" s="21" t="n">
        <f aca="false">F94</f>
        <v>458404.135330906</v>
      </c>
      <c r="C95" s="21" t="n">
        <f aca="false">B95*$B$12</f>
        <v>2292.02067665453</v>
      </c>
      <c r="D95" s="21" t="n">
        <f aca="false">MIN($B$15,B95+C95)</f>
        <v>2997.76</v>
      </c>
      <c r="E95" s="21" t="n">
        <f aca="false">D95-C95</f>
        <v>705.739323345471</v>
      </c>
      <c r="F95" s="21" t="n">
        <f aca="false">B95+C95-D95</f>
        <v>457698.39600756</v>
      </c>
    </row>
    <row r="96" customFormat="false" ht="15" hidden="false" customHeight="false" outlineLevel="0" collapsed="false">
      <c r="A96" s="13" t="n">
        <v>72</v>
      </c>
      <c r="B96" s="21" t="n">
        <f aca="false">F95</f>
        <v>457698.39600756</v>
      </c>
      <c r="C96" s="21" t="n">
        <f aca="false">B96*$B$12</f>
        <v>2288.4919800378</v>
      </c>
      <c r="D96" s="21" t="n">
        <f aca="false">MIN($B$15,B96+C96)</f>
        <v>2997.76</v>
      </c>
      <c r="E96" s="21" t="n">
        <f aca="false">D96-C96</f>
        <v>709.268019962198</v>
      </c>
      <c r="F96" s="21" t="n">
        <f aca="false">B96+C96-D96</f>
        <v>456989.127987598</v>
      </c>
    </row>
    <row r="97" customFormat="false" ht="15" hidden="false" customHeight="false" outlineLevel="0" collapsed="false">
      <c r="A97" s="13" t="n">
        <v>73</v>
      </c>
      <c r="B97" s="21" t="n">
        <f aca="false">F96</f>
        <v>456989.127987598</v>
      </c>
      <c r="C97" s="21" t="n">
        <f aca="false">B97*$B$12</f>
        <v>2284.94563993799</v>
      </c>
      <c r="D97" s="21" t="n">
        <f aca="false">MIN($B$15,B97+C97)</f>
        <v>2997.76</v>
      </c>
      <c r="E97" s="21" t="n">
        <f aca="false">D97-C97</f>
        <v>712.814360062009</v>
      </c>
      <c r="F97" s="21" t="n">
        <f aca="false">B97+C97-D97</f>
        <v>456276.313627536</v>
      </c>
    </row>
    <row r="98" customFormat="false" ht="15" hidden="false" customHeight="false" outlineLevel="0" collapsed="false">
      <c r="A98" s="13" t="n">
        <v>74</v>
      </c>
      <c r="B98" s="21" t="n">
        <f aca="false">F97</f>
        <v>456276.313627536</v>
      </c>
      <c r="C98" s="21" t="n">
        <f aca="false">B98*$B$12</f>
        <v>2281.38156813768</v>
      </c>
      <c r="D98" s="21" t="n">
        <f aca="false">MIN($B$15,B98+C98)</f>
        <v>2997.76</v>
      </c>
      <c r="E98" s="21" t="n">
        <f aca="false">D98-C98</f>
        <v>716.378431862319</v>
      </c>
      <c r="F98" s="21" t="n">
        <f aca="false">B98+C98-D98</f>
        <v>455559.935195674</v>
      </c>
    </row>
    <row r="99" customFormat="false" ht="15" hidden="false" customHeight="false" outlineLevel="0" collapsed="false">
      <c r="A99" s="13" t="n">
        <v>75</v>
      </c>
      <c r="B99" s="21" t="n">
        <f aca="false">F98</f>
        <v>455559.935195674</v>
      </c>
      <c r="C99" s="21" t="n">
        <f aca="false">B99*$B$12</f>
        <v>2277.79967597837</v>
      </c>
      <c r="D99" s="21" t="n">
        <f aca="false">MIN($B$15,B99+C99)</f>
        <v>2997.76</v>
      </c>
      <c r="E99" s="21" t="n">
        <f aca="false">D99-C99</f>
        <v>719.960324021631</v>
      </c>
      <c r="F99" s="21" t="n">
        <f aca="false">B99+C99-D99</f>
        <v>454839.974871652</v>
      </c>
    </row>
    <row r="100" customFormat="false" ht="15" hidden="false" customHeight="false" outlineLevel="0" collapsed="false">
      <c r="A100" s="13" t="n">
        <v>76</v>
      </c>
      <c r="B100" s="21" t="n">
        <f aca="false">F99</f>
        <v>454839.974871652</v>
      </c>
      <c r="C100" s="21" t="n">
        <f aca="false">B100*$B$12</f>
        <v>2274.19987435826</v>
      </c>
      <c r="D100" s="21" t="n">
        <f aca="false">MIN($B$15,B100+C100)</f>
        <v>2997.76</v>
      </c>
      <c r="E100" s="21" t="n">
        <f aca="false">D100-C100</f>
        <v>723.560125641739</v>
      </c>
      <c r="F100" s="21" t="n">
        <f aca="false">B100+C100-D100</f>
        <v>454116.41474601</v>
      </c>
    </row>
    <row r="101" customFormat="false" ht="15" hidden="false" customHeight="false" outlineLevel="0" collapsed="false">
      <c r="A101" s="13" t="n">
        <v>77</v>
      </c>
      <c r="B101" s="21" t="n">
        <f aca="false">F100</f>
        <v>454116.41474601</v>
      </c>
      <c r="C101" s="21" t="n">
        <f aca="false">B101*$B$12</f>
        <v>2270.58207373005</v>
      </c>
      <c r="D101" s="21" t="n">
        <f aca="false">MIN($B$15,B101+C101)</f>
        <v>2997.76</v>
      </c>
      <c r="E101" s="21" t="n">
        <f aca="false">D101-C101</f>
        <v>727.177926269948</v>
      </c>
      <c r="F101" s="21" t="n">
        <f aca="false">B101+C101-D101</f>
        <v>453389.236819741</v>
      </c>
    </row>
    <row r="102" customFormat="false" ht="15" hidden="false" customHeight="false" outlineLevel="0" collapsed="false">
      <c r="A102" s="13" t="n">
        <v>78</v>
      </c>
      <c r="B102" s="21" t="n">
        <f aca="false">F101</f>
        <v>453389.236819741</v>
      </c>
      <c r="C102" s="21" t="n">
        <f aca="false">B102*$B$12</f>
        <v>2266.9461840987</v>
      </c>
      <c r="D102" s="21" t="n">
        <f aca="false">MIN($B$15,B102+C102)</f>
        <v>2997.76</v>
      </c>
      <c r="E102" s="21" t="n">
        <f aca="false">D102-C102</f>
        <v>730.813815901298</v>
      </c>
      <c r="F102" s="21" t="n">
        <f aca="false">B102+C102-D102</f>
        <v>452658.423003839</v>
      </c>
    </row>
    <row r="103" customFormat="false" ht="15" hidden="false" customHeight="false" outlineLevel="0" collapsed="false">
      <c r="A103" s="13" t="n">
        <v>79</v>
      </c>
      <c r="B103" s="21" t="n">
        <f aca="false">F102</f>
        <v>452658.423003839</v>
      </c>
      <c r="C103" s="21" t="n">
        <f aca="false">B103*$B$12</f>
        <v>2263.2921150192</v>
      </c>
      <c r="D103" s="21" t="n">
        <f aca="false">MIN($B$15,B103+C103)</f>
        <v>2997.76</v>
      </c>
      <c r="E103" s="21" t="n">
        <f aca="false">D103-C103</f>
        <v>734.467884980804</v>
      </c>
      <c r="F103" s="21" t="n">
        <f aca="false">B103+C103-D103</f>
        <v>451923.955118858</v>
      </c>
    </row>
    <row r="104" customFormat="false" ht="15" hidden="false" customHeight="false" outlineLevel="0" collapsed="false">
      <c r="A104" s="13" t="n">
        <v>80</v>
      </c>
      <c r="B104" s="21" t="n">
        <f aca="false">F103</f>
        <v>451923.955118858</v>
      </c>
      <c r="C104" s="21" t="n">
        <f aca="false">B104*$B$12</f>
        <v>2259.61977559429</v>
      </c>
      <c r="D104" s="21" t="n">
        <f aca="false">MIN($B$15,B104+C104)</f>
        <v>2997.76</v>
      </c>
      <c r="E104" s="21" t="n">
        <f aca="false">D104-C104</f>
        <v>738.140224405709</v>
      </c>
      <c r="F104" s="21" t="n">
        <f aca="false">B104+C104-D104</f>
        <v>451185.814894453</v>
      </c>
    </row>
    <row r="105" customFormat="false" ht="15" hidden="false" customHeight="false" outlineLevel="0" collapsed="false">
      <c r="A105" s="13" t="n">
        <v>81</v>
      </c>
      <c r="B105" s="21" t="n">
        <f aca="false">F104</f>
        <v>451185.814894453</v>
      </c>
      <c r="C105" s="21" t="n">
        <f aca="false">B105*$B$12</f>
        <v>2255.92907447226</v>
      </c>
      <c r="D105" s="21" t="n">
        <f aca="false">MIN($B$15,B105+C105)</f>
        <v>2997.76</v>
      </c>
      <c r="E105" s="21" t="n">
        <f aca="false">D105-C105</f>
        <v>741.830925527737</v>
      </c>
      <c r="F105" s="21" t="n">
        <f aca="false">B105+C105-D105</f>
        <v>450443.983968925</v>
      </c>
    </row>
    <row r="106" customFormat="false" ht="15" hidden="false" customHeight="false" outlineLevel="0" collapsed="false">
      <c r="A106" s="13" t="n">
        <v>82</v>
      </c>
      <c r="B106" s="21" t="n">
        <f aca="false">F105</f>
        <v>450443.983968925</v>
      </c>
      <c r="C106" s="21" t="n">
        <f aca="false">B106*$B$12</f>
        <v>2252.21991984462</v>
      </c>
      <c r="D106" s="21" t="n">
        <f aca="false">MIN($B$15,B106+C106)</f>
        <v>2997.76</v>
      </c>
      <c r="E106" s="21" t="n">
        <f aca="false">D106-C106</f>
        <v>745.540080155376</v>
      </c>
      <c r="F106" s="21" t="n">
        <f aca="false">B106+C106-D106</f>
        <v>449698.44388877</v>
      </c>
    </row>
    <row r="107" customFormat="false" ht="15" hidden="false" customHeight="false" outlineLevel="0" collapsed="false">
      <c r="A107" s="13" t="n">
        <v>83</v>
      </c>
      <c r="B107" s="21" t="n">
        <f aca="false">F106</f>
        <v>449698.44388877</v>
      </c>
      <c r="C107" s="21" t="n">
        <f aca="false">B107*$B$12</f>
        <v>2248.49221944385</v>
      </c>
      <c r="D107" s="21" t="n">
        <f aca="false">MIN($B$15,B107+C107)</f>
        <v>2997.76</v>
      </c>
      <c r="E107" s="21" t="n">
        <f aca="false">D107-C107</f>
        <v>749.267780556153</v>
      </c>
      <c r="F107" s="21" t="n">
        <f aca="false">B107+C107-D107</f>
        <v>448949.176108213</v>
      </c>
    </row>
    <row r="108" customFormat="false" ht="15" hidden="false" customHeight="false" outlineLevel="0" collapsed="false">
      <c r="A108" s="13" t="n">
        <v>84</v>
      </c>
      <c r="B108" s="21" t="n">
        <f aca="false">F107</f>
        <v>448949.176108213</v>
      </c>
      <c r="C108" s="21" t="n">
        <f aca="false">B108*$B$12</f>
        <v>2244.74588054107</v>
      </c>
      <c r="D108" s="21" t="n">
        <f aca="false">MIN($B$15,B108+C108)</f>
        <v>2997.76</v>
      </c>
      <c r="E108" s="21" t="n">
        <f aca="false">D108-C108</f>
        <v>753.014119458933</v>
      </c>
      <c r="F108" s="21" t="n">
        <f aca="false">B108+C108-D108</f>
        <v>448196.161988754</v>
      </c>
    </row>
    <row r="109" customFormat="false" ht="15" hidden="false" customHeight="false" outlineLevel="0" collapsed="false">
      <c r="A109" s="13" t="n">
        <v>85</v>
      </c>
      <c r="B109" s="21" t="n">
        <f aca="false">F108</f>
        <v>448196.161988754</v>
      </c>
      <c r="C109" s="21" t="n">
        <f aca="false">B109*$B$12</f>
        <v>2240.98080994377</v>
      </c>
      <c r="D109" s="21" t="n">
        <f aca="false">MIN($B$15,B109+C109)</f>
        <v>2997.76</v>
      </c>
      <c r="E109" s="21" t="n">
        <f aca="false">D109-C109</f>
        <v>756.779190056228</v>
      </c>
      <c r="F109" s="21" t="n">
        <f aca="false">B109+C109-D109</f>
        <v>447439.382798698</v>
      </c>
    </row>
    <row r="110" customFormat="false" ht="15" hidden="false" customHeight="false" outlineLevel="0" collapsed="false">
      <c r="A110" s="13" t="n">
        <v>86</v>
      </c>
      <c r="B110" s="21" t="n">
        <f aca="false">F109</f>
        <v>447439.382798698</v>
      </c>
      <c r="C110" s="21" t="n">
        <f aca="false">B110*$B$12</f>
        <v>2237.19691399349</v>
      </c>
      <c r="D110" s="21" t="n">
        <f aca="false">MIN($B$15,B110+C110)</f>
        <v>2997.76</v>
      </c>
      <c r="E110" s="21" t="n">
        <f aca="false">D110-C110</f>
        <v>760.563086006509</v>
      </c>
      <c r="F110" s="21" t="n">
        <f aca="false">B110+C110-D110</f>
        <v>446678.819712692</v>
      </c>
    </row>
    <row r="111" customFormat="false" ht="15" hidden="false" customHeight="false" outlineLevel="0" collapsed="false">
      <c r="A111" s="13" t="n">
        <v>87</v>
      </c>
      <c r="B111" s="21" t="n">
        <f aca="false">F110</f>
        <v>446678.819712692</v>
      </c>
      <c r="C111" s="21" t="n">
        <f aca="false">B111*$B$12</f>
        <v>2233.39409856346</v>
      </c>
      <c r="D111" s="21" t="n">
        <f aca="false">MIN($B$15,B111+C111)</f>
        <v>2997.76</v>
      </c>
      <c r="E111" s="21" t="n">
        <f aca="false">D111-C111</f>
        <v>764.365901436542</v>
      </c>
      <c r="F111" s="21" t="n">
        <f aca="false">B111+C111-D111</f>
        <v>445914.453811255</v>
      </c>
    </row>
    <row r="112" customFormat="false" ht="15" hidden="false" customHeight="false" outlineLevel="0" collapsed="false">
      <c r="A112" s="13" t="n">
        <v>88</v>
      </c>
      <c r="B112" s="21" t="n">
        <f aca="false">F111</f>
        <v>445914.453811255</v>
      </c>
      <c r="C112" s="21" t="n">
        <f aca="false">B112*$B$12</f>
        <v>2229.57226905628</v>
      </c>
      <c r="D112" s="21" t="n">
        <f aca="false">MIN($B$15,B112+C112)</f>
        <v>2997.76</v>
      </c>
      <c r="E112" s="21" t="n">
        <f aca="false">D112-C112</f>
        <v>768.187730943725</v>
      </c>
      <c r="F112" s="21" t="n">
        <f aca="false">B112+C112-D112</f>
        <v>445146.266080311</v>
      </c>
    </row>
    <row r="113" customFormat="false" ht="15" hidden="false" customHeight="false" outlineLevel="0" collapsed="false">
      <c r="A113" s="13" t="n">
        <v>89</v>
      </c>
      <c r="B113" s="21" t="n">
        <f aca="false">F112</f>
        <v>445146.266080311</v>
      </c>
      <c r="C113" s="21" t="n">
        <f aca="false">B113*$B$12</f>
        <v>2225.73133040156</v>
      </c>
      <c r="D113" s="21" t="n">
        <f aca="false">MIN($B$15,B113+C113)</f>
        <v>2997.76</v>
      </c>
      <c r="E113" s="21" t="n">
        <f aca="false">D113-C113</f>
        <v>772.028669598443</v>
      </c>
      <c r="F113" s="21" t="n">
        <f aca="false">B113+C113-D113</f>
        <v>444374.237410713</v>
      </c>
    </row>
    <row r="114" customFormat="false" ht="15" hidden="false" customHeight="false" outlineLevel="0" collapsed="false">
      <c r="A114" s="13" t="n">
        <v>90</v>
      </c>
      <c r="B114" s="21" t="n">
        <f aca="false">F113</f>
        <v>444374.237410713</v>
      </c>
      <c r="C114" s="21" t="n">
        <f aca="false">B114*$B$12</f>
        <v>2221.87118705357</v>
      </c>
      <c r="D114" s="21" t="n">
        <f aca="false">MIN($B$15,B114+C114)</f>
        <v>2997.76</v>
      </c>
      <c r="E114" s="21" t="n">
        <f aca="false">D114-C114</f>
        <v>775.888812946435</v>
      </c>
      <c r="F114" s="21" t="n">
        <f aca="false">B114+C114-D114</f>
        <v>443598.348597767</v>
      </c>
    </row>
    <row r="115" customFormat="false" ht="15" hidden="false" customHeight="false" outlineLevel="0" collapsed="false">
      <c r="A115" s="13" t="n">
        <v>91</v>
      </c>
      <c r="B115" s="21" t="n">
        <f aca="false">F114</f>
        <v>443598.348597767</v>
      </c>
      <c r="C115" s="21" t="n">
        <f aca="false">B115*$B$12</f>
        <v>2217.99174298883</v>
      </c>
      <c r="D115" s="21" t="n">
        <f aca="false">MIN($B$15,B115+C115)</f>
        <v>2997.76</v>
      </c>
      <c r="E115" s="21" t="n">
        <f aca="false">D115-C115</f>
        <v>779.768257011168</v>
      </c>
      <c r="F115" s="21" t="n">
        <f aca="false">B115+C115-D115</f>
        <v>442818.580340755</v>
      </c>
    </row>
    <row r="116" customFormat="false" ht="15" hidden="false" customHeight="false" outlineLevel="0" collapsed="false">
      <c r="A116" s="13" t="n">
        <v>92</v>
      </c>
      <c r="B116" s="21" t="n">
        <f aca="false">F115</f>
        <v>442818.580340755</v>
      </c>
      <c r="C116" s="21" t="n">
        <f aca="false">B116*$B$12</f>
        <v>2214.09290170378</v>
      </c>
      <c r="D116" s="21" t="n">
        <f aca="false">MIN($B$15,B116+C116)</f>
        <v>2997.76</v>
      </c>
      <c r="E116" s="21" t="n">
        <f aca="false">D116-C116</f>
        <v>783.667098296224</v>
      </c>
      <c r="F116" s="21" t="n">
        <f aca="false">B116+C116-D116</f>
        <v>442034.913242459</v>
      </c>
    </row>
    <row r="117" customFormat="false" ht="15" hidden="false" customHeight="false" outlineLevel="0" collapsed="false">
      <c r="A117" s="13" t="n">
        <v>93</v>
      </c>
      <c r="B117" s="21" t="n">
        <f aca="false">F116</f>
        <v>442034.913242459</v>
      </c>
      <c r="C117" s="21" t="n">
        <f aca="false">B117*$B$12</f>
        <v>2210.1745662123</v>
      </c>
      <c r="D117" s="21" t="n">
        <f aca="false">MIN($B$15,B117+C117)</f>
        <v>2997.76</v>
      </c>
      <c r="E117" s="21" t="n">
        <f aca="false">D117-C117</f>
        <v>787.585433787705</v>
      </c>
      <c r="F117" s="21" t="n">
        <f aca="false">B117+C117-D117</f>
        <v>441247.327808671</v>
      </c>
    </row>
    <row r="118" customFormat="false" ht="15" hidden="false" customHeight="false" outlineLevel="0" collapsed="false">
      <c r="A118" s="13" t="n">
        <v>94</v>
      </c>
      <c r="B118" s="21" t="n">
        <f aca="false">F117</f>
        <v>441247.327808671</v>
      </c>
      <c r="C118" s="21" t="n">
        <f aca="false">B118*$B$12</f>
        <v>2206.23663904336</v>
      </c>
      <c r="D118" s="21" t="n">
        <f aca="false">MIN($B$15,B118+C118)</f>
        <v>2997.76</v>
      </c>
      <c r="E118" s="21" t="n">
        <f aca="false">D118-C118</f>
        <v>791.523360956644</v>
      </c>
      <c r="F118" s="21" t="n">
        <f aca="false">B118+C118-D118</f>
        <v>440455.804447715</v>
      </c>
    </row>
    <row r="119" customFormat="false" ht="15" hidden="false" customHeight="false" outlineLevel="0" collapsed="false">
      <c r="A119" s="13" t="n">
        <v>95</v>
      </c>
      <c r="B119" s="21" t="n">
        <f aca="false">F118</f>
        <v>440455.804447715</v>
      </c>
      <c r="C119" s="21" t="n">
        <f aca="false">B119*$B$12</f>
        <v>2202.27902223857</v>
      </c>
      <c r="D119" s="21" t="n">
        <f aca="false">MIN($B$15,B119+C119)</f>
        <v>2997.76</v>
      </c>
      <c r="E119" s="21" t="n">
        <f aca="false">D119-C119</f>
        <v>795.480977761427</v>
      </c>
      <c r="F119" s="21" t="n">
        <f aca="false">B119+C119-D119</f>
        <v>439660.323469953</v>
      </c>
    </row>
    <row r="120" customFormat="false" ht="15" hidden="false" customHeight="false" outlineLevel="0" collapsed="false">
      <c r="A120" s="13" t="n">
        <v>96</v>
      </c>
      <c r="B120" s="21" t="n">
        <f aca="false">F119</f>
        <v>439660.323469953</v>
      </c>
      <c r="C120" s="21" t="n">
        <f aca="false">B120*$B$12</f>
        <v>2198.30161734977</v>
      </c>
      <c r="D120" s="21" t="n">
        <f aca="false">MIN($B$15,B120+C120)</f>
        <v>2997.76</v>
      </c>
      <c r="E120" s="21" t="n">
        <f aca="false">D120-C120</f>
        <v>799.458382650234</v>
      </c>
      <c r="F120" s="21" t="n">
        <f aca="false">B120+C120-D120</f>
        <v>438860.865087303</v>
      </c>
    </row>
    <row r="121" customFormat="false" ht="15" hidden="false" customHeight="false" outlineLevel="0" collapsed="false">
      <c r="A121" s="13" t="n">
        <v>97</v>
      </c>
      <c r="B121" s="21" t="n">
        <f aca="false">F120</f>
        <v>438860.865087303</v>
      </c>
      <c r="C121" s="21" t="n">
        <f aca="false">B121*$B$12</f>
        <v>2194.30432543652</v>
      </c>
      <c r="D121" s="21" t="n">
        <f aca="false">MIN($B$15,B121+C121)</f>
        <v>2997.76</v>
      </c>
      <c r="E121" s="21" t="n">
        <f aca="false">D121-C121</f>
        <v>803.455674563485</v>
      </c>
      <c r="F121" s="21" t="n">
        <f aca="false">B121+C121-D121</f>
        <v>438057.40941274</v>
      </c>
    </row>
    <row r="122" customFormat="false" ht="15" hidden="false" customHeight="false" outlineLevel="0" collapsed="false">
      <c r="A122" s="13" t="n">
        <v>98</v>
      </c>
      <c r="B122" s="21" t="n">
        <f aca="false">F121</f>
        <v>438057.40941274</v>
      </c>
      <c r="C122" s="21" t="n">
        <f aca="false">B122*$B$12</f>
        <v>2190.2870470637</v>
      </c>
      <c r="D122" s="21" t="n">
        <f aca="false">MIN($B$15,B122+C122)</f>
        <v>2997.76</v>
      </c>
      <c r="E122" s="21" t="n">
        <f aca="false">D122-C122</f>
        <v>807.472952936302</v>
      </c>
      <c r="F122" s="21" t="n">
        <f aca="false">B122+C122-D122</f>
        <v>437249.936459803</v>
      </c>
    </row>
    <row r="123" customFormat="false" ht="15" hidden="false" customHeight="false" outlineLevel="0" collapsed="false">
      <c r="A123" s="13" t="n">
        <v>99</v>
      </c>
      <c r="B123" s="21" t="n">
        <f aca="false">F122</f>
        <v>437249.936459803</v>
      </c>
      <c r="C123" s="21" t="n">
        <f aca="false">B123*$B$12</f>
        <v>2186.24968229902</v>
      </c>
      <c r="D123" s="21" t="n">
        <f aca="false">MIN($B$15,B123+C123)</f>
        <v>2997.76</v>
      </c>
      <c r="E123" s="21" t="n">
        <f aca="false">D123-C123</f>
        <v>811.510317700984</v>
      </c>
      <c r="F123" s="21" t="n">
        <f aca="false">B123+C123-D123</f>
        <v>436438.426142102</v>
      </c>
    </row>
    <row r="124" customFormat="false" ht="15" hidden="false" customHeight="false" outlineLevel="0" collapsed="false">
      <c r="A124" s="13" t="n">
        <v>100</v>
      </c>
      <c r="B124" s="21" t="n">
        <f aca="false">F123</f>
        <v>436438.426142102</v>
      </c>
      <c r="C124" s="21" t="n">
        <f aca="false">B124*$B$12</f>
        <v>2182.19213071051</v>
      </c>
      <c r="D124" s="21" t="n">
        <f aca="false">MIN($B$15,B124+C124)</f>
        <v>2997.76</v>
      </c>
      <c r="E124" s="21" t="n">
        <f aca="false">D124-C124</f>
        <v>815.567869289489</v>
      </c>
      <c r="F124" s="21" t="n">
        <f aca="false">B124+C124-D124</f>
        <v>435622.858272813</v>
      </c>
    </row>
    <row r="125" customFormat="false" ht="15" hidden="false" customHeight="false" outlineLevel="0" collapsed="false">
      <c r="A125" s="13" t="n">
        <v>101</v>
      </c>
      <c r="B125" s="21" t="n">
        <f aca="false">F124</f>
        <v>435622.858272813</v>
      </c>
      <c r="C125" s="21" t="n">
        <f aca="false">B125*$B$12</f>
        <v>2178.11429136406</v>
      </c>
      <c r="D125" s="21" t="n">
        <f aca="false">MIN($B$15,B125+C125)</f>
        <v>2997.76</v>
      </c>
      <c r="E125" s="21" t="n">
        <f aca="false">D125-C125</f>
        <v>819.645708635936</v>
      </c>
      <c r="F125" s="21" t="n">
        <f aca="false">B125+C125-D125</f>
        <v>434803.212564177</v>
      </c>
    </row>
    <row r="126" customFormat="false" ht="15" hidden="false" customHeight="false" outlineLevel="0" collapsed="false">
      <c r="A126" s="13" t="n">
        <v>102</v>
      </c>
      <c r="B126" s="21" t="n">
        <f aca="false">F125</f>
        <v>434803.212564177</v>
      </c>
      <c r="C126" s="21" t="n">
        <f aca="false">B126*$B$12</f>
        <v>2174.01606282088</v>
      </c>
      <c r="D126" s="21" t="n">
        <f aca="false">MIN($B$15,B126+C126)</f>
        <v>2997.76</v>
      </c>
      <c r="E126" s="21" t="n">
        <f aca="false">D126-C126</f>
        <v>823.743937179116</v>
      </c>
      <c r="F126" s="21" t="n">
        <f aca="false">B126+C126-D126</f>
        <v>433979.468626998</v>
      </c>
    </row>
    <row r="127" customFormat="false" ht="15" hidden="false" customHeight="false" outlineLevel="0" collapsed="false">
      <c r="A127" s="13" t="n">
        <v>103</v>
      </c>
      <c r="B127" s="21" t="n">
        <f aca="false">F126</f>
        <v>433979.468626998</v>
      </c>
      <c r="C127" s="21" t="n">
        <f aca="false">B127*$B$12</f>
        <v>2169.89734313499</v>
      </c>
      <c r="D127" s="21" t="n">
        <f aca="false">MIN($B$15,B127+C127)</f>
        <v>2997.76</v>
      </c>
      <c r="E127" s="21" t="n">
        <f aca="false">D127-C127</f>
        <v>827.862656865012</v>
      </c>
      <c r="F127" s="21" t="n">
        <f aca="false">B127+C127-D127</f>
        <v>433151.605970133</v>
      </c>
    </row>
    <row r="128" customFormat="false" ht="15" hidden="false" customHeight="false" outlineLevel="0" collapsed="false">
      <c r="A128" s="13" t="n">
        <v>104</v>
      </c>
      <c r="B128" s="21" t="n">
        <f aca="false">F127</f>
        <v>433151.605970133</v>
      </c>
      <c r="C128" s="21" t="n">
        <f aca="false">B128*$B$12</f>
        <v>2165.75802985066</v>
      </c>
      <c r="D128" s="21" t="n">
        <f aca="false">MIN($B$15,B128+C128)</f>
        <v>2997.76</v>
      </c>
      <c r="E128" s="21" t="n">
        <f aca="false">D128-C128</f>
        <v>832.001970149337</v>
      </c>
      <c r="F128" s="21" t="n">
        <f aca="false">B128+C128-D128</f>
        <v>432319.603999983</v>
      </c>
    </row>
    <row r="129" customFormat="false" ht="15" hidden="false" customHeight="false" outlineLevel="0" collapsed="false">
      <c r="A129" s="13" t="n">
        <v>105</v>
      </c>
      <c r="B129" s="21" t="n">
        <f aca="false">F128</f>
        <v>432319.603999983</v>
      </c>
      <c r="C129" s="21" t="n">
        <f aca="false">B129*$B$12</f>
        <v>2161.59801999992</v>
      </c>
      <c r="D129" s="21" t="n">
        <f aca="false">MIN($B$15,B129+C129)</f>
        <v>2997.76</v>
      </c>
      <c r="E129" s="21" t="n">
        <f aca="false">D129-C129</f>
        <v>836.161980000084</v>
      </c>
      <c r="F129" s="21" t="n">
        <f aca="false">B129+C129-D129</f>
        <v>431483.442019983</v>
      </c>
    </row>
    <row r="130" customFormat="false" ht="15" hidden="false" customHeight="false" outlineLevel="0" collapsed="false">
      <c r="A130" s="13" t="n">
        <v>106</v>
      </c>
      <c r="B130" s="21" t="n">
        <f aca="false">F129</f>
        <v>431483.442019983</v>
      </c>
      <c r="C130" s="21" t="n">
        <f aca="false">B130*$B$12</f>
        <v>2157.41721009992</v>
      </c>
      <c r="D130" s="21" t="n">
        <f aca="false">MIN($B$15,B130+C130)</f>
        <v>2997.76</v>
      </c>
      <c r="E130" s="21" t="n">
        <f aca="false">D130-C130</f>
        <v>840.342789900084</v>
      </c>
      <c r="F130" s="21" t="n">
        <f aca="false">B130+C130-D130</f>
        <v>430643.099230083</v>
      </c>
    </row>
    <row r="131" customFormat="false" ht="15" hidden="false" customHeight="false" outlineLevel="0" collapsed="false">
      <c r="A131" s="13" t="n">
        <v>107</v>
      </c>
      <c r="B131" s="21" t="n">
        <f aca="false">F130</f>
        <v>430643.099230083</v>
      </c>
      <c r="C131" s="21" t="n">
        <f aca="false">B131*$B$12</f>
        <v>2153.21549615042</v>
      </c>
      <c r="D131" s="21" t="n">
        <f aca="false">MIN($B$15,B131+C131)</f>
        <v>2997.76</v>
      </c>
      <c r="E131" s="21" t="n">
        <f aca="false">D131-C131</f>
        <v>844.544503849585</v>
      </c>
      <c r="F131" s="21" t="n">
        <f aca="false">B131+C131-D131</f>
        <v>429798.554726234</v>
      </c>
    </row>
    <row r="132" customFormat="false" ht="15" hidden="false" customHeight="false" outlineLevel="0" collapsed="false">
      <c r="A132" s="13" t="n">
        <v>108</v>
      </c>
      <c r="B132" s="21" t="n">
        <f aca="false">F131</f>
        <v>429798.554726234</v>
      </c>
      <c r="C132" s="21" t="n">
        <f aca="false">B132*$B$12</f>
        <v>2148.99277363117</v>
      </c>
      <c r="D132" s="21" t="n">
        <f aca="false">MIN($B$15,B132+C132)</f>
        <v>2997.76</v>
      </c>
      <c r="E132" s="21" t="n">
        <f aca="false">D132-C132</f>
        <v>848.767226368832</v>
      </c>
      <c r="F132" s="21" t="n">
        <f aca="false">B132+C132-D132</f>
        <v>428949.787499865</v>
      </c>
    </row>
    <row r="133" customFormat="false" ht="15" hidden="false" customHeight="false" outlineLevel="0" collapsed="false">
      <c r="A133" s="13" t="n">
        <v>109</v>
      </c>
      <c r="B133" s="21" t="n">
        <f aca="false">F132</f>
        <v>428949.787499865</v>
      </c>
      <c r="C133" s="21" t="n">
        <f aca="false">B133*$B$12</f>
        <v>2144.74893749932</v>
      </c>
      <c r="D133" s="21" t="n">
        <f aca="false">MIN($B$15,B133+C133)</f>
        <v>2997.76</v>
      </c>
      <c r="E133" s="21" t="n">
        <f aca="false">D133-C133</f>
        <v>853.011062500676</v>
      </c>
      <c r="F133" s="21" t="n">
        <f aca="false">B133+C133-D133</f>
        <v>428096.776437364</v>
      </c>
    </row>
    <row r="134" customFormat="false" ht="15" hidden="false" customHeight="false" outlineLevel="0" collapsed="false">
      <c r="A134" s="13" t="n">
        <v>110</v>
      </c>
      <c r="B134" s="21" t="n">
        <f aca="false">F133</f>
        <v>428096.776437364</v>
      </c>
      <c r="C134" s="21" t="n">
        <f aca="false">B134*$B$12</f>
        <v>2140.48388218682</v>
      </c>
      <c r="D134" s="21" t="n">
        <f aca="false">MIN($B$15,B134+C134)</f>
        <v>2997.76</v>
      </c>
      <c r="E134" s="21" t="n">
        <f aca="false">D134-C134</f>
        <v>857.27611781318</v>
      </c>
      <c r="F134" s="21" t="n">
        <f aca="false">B134+C134-D134</f>
        <v>427239.500319551</v>
      </c>
    </row>
    <row r="135" customFormat="false" ht="15" hidden="false" customHeight="false" outlineLevel="0" collapsed="false">
      <c r="A135" s="13" t="n">
        <v>111</v>
      </c>
      <c r="B135" s="21" t="n">
        <f aca="false">F134</f>
        <v>427239.500319551</v>
      </c>
      <c r="C135" s="21" t="n">
        <f aca="false">B135*$B$12</f>
        <v>2136.19750159775</v>
      </c>
      <c r="D135" s="21" t="n">
        <f aca="false">MIN($B$15,B135+C135)</f>
        <v>2997.76</v>
      </c>
      <c r="E135" s="21" t="n">
        <f aca="false">D135-C135</f>
        <v>861.562498402246</v>
      </c>
      <c r="F135" s="21" t="n">
        <f aca="false">B135+C135-D135</f>
        <v>426377.937821149</v>
      </c>
    </row>
    <row r="136" customFormat="false" ht="15" hidden="false" customHeight="false" outlineLevel="0" collapsed="false">
      <c r="A136" s="13" t="n">
        <v>112</v>
      </c>
      <c r="B136" s="21" t="n">
        <f aca="false">F135</f>
        <v>426377.937821149</v>
      </c>
      <c r="C136" s="21" t="n">
        <f aca="false">B136*$B$12</f>
        <v>2131.88968910574</v>
      </c>
      <c r="D136" s="21" t="n">
        <f aca="false">MIN($B$15,B136+C136)</f>
        <v>2997.76</v>
      </c>
      <c r="E136" s="21" t="n">
        <f aca="false">D136-C136</f>
        <v>865.870310894257</v>
      </c>
      <c r="F136" s="21" t="n">
        <f aca="false">B136+C136-D136</f>
        <v>425512.067510254</v>
      </c>
    </row>
    <row r="137" customFormat="false" ht="15" hidden="false" customHeight="false" outlineLevel="0" collapsed="false">
      <c r="A137" s="13" t="n">
        <v>113</v>
      </c>
      <c r="B137" s="21" t="n">
        <f aca="false">F136</f>
        <v>425512.067510254</v>
      </c>
      <c r="C137" s="21" t="n">
        <f aca="false">B137*$B$12</f>
        <v>2127.56033755127</v>
      </c>
      <c r="D137" s="21" t="n">
        <f aca="false">MIN($B$15,B137+C137)</f>
        <v>2997.76</v>
      </c>
      <c r="E137" s="21" t="n">
        <f aca="false">D137-C137</f>
        <v>870.199662448728</v>
      </c>
      <c r="F137" s="21" t="n">
        <f aca="false">B137+C137-D137</f>
        <v>424641.867847806</v>
      </c>
    </row>
    <row r="138" customFormat="false" ht="15" hidden="false" customHeight="false" outlineLevel="0" collapsed="false">
      <c r="A138" s="13" t="n">
        <v>114</v>
      </c>
      <c r="B138" s="21" t="n">
        <f aca="false">F137</f>
        <v>424641.867847806</v>
      </c>
      <c r="C138" s="21" t="n">
        <f aca="false">B138*$B$12</f>
        <v>2123.20933923903</v>
      </c>
      <c r="D138" s="21" t="n">
        <f aca="false">MIN($B$15,B138+C138)</f>
        <v>2997.76</v>
      </c>
      <c r="E138" s="21" t="n">
        <f aca="false">D138-C138</f>
        <v>874.550660760972</v>
      </c>
      <c r="F138" s="21" t="n">
        <f aca="false">B138+C138-D138</f>
        <v>423767.317187045</v>
      </c>
    </row>
    <row r="139" customFormat="false" ht="15" hidden="false" customHeight="false" outlineLevel="0" collapsed="false">
      <c r="A139" s="13" t="n">
        <v>115</v>
      </c>
      <c r="B139" s="21" t="n">
        <f aca="false">F138</f>
        <v>423767.317187045</v>
      </c>
      <c r="C139" s="21" t="n">
        <f aca="false">B139*$B$12</f>
        <v>2118.83658593522</v>
      </c>
      <c r="D139" s="21" t="n">
        <f aca="false">MIN($B$15,B139+C139)</f>
        <v>2997.76</v>
      </c>
      <c r="E139" s="21" t="n">
        <f aca="false">D139-C139</f>
        <v>878.923414064777</v>
      </c>
      <c r="F139" s="21" t="n">
        <f aca="false">B139+C139-D139</f>
        <v>422888.39377298</v>
      </c>
    </row>
    <row r="140" customFormat="false" ht="15" hidden="false" customHeight="false" outlineLevel="0" collapsed="false">
      <c r="A140" s="13" t="n">
        <v>116</v>
      </c>
      <c r="B140" s="21" t="n">
        <f aca="false">F139</f>
        <v>422888.39377298</v>
      </c>
      <c r="C140" s="21" t="n">
        <f aca="false">B140*$B$12</f>
        <v>2114.4419688649</v>
      </c>
      <c r="D140" s="21" t="n">
        <f aca="false">MIN($B$15,B140+C140)</f>
        <v>2997.76</v>
      </c>
      <c r="E140" s="21" t="n">
        <f aca="false">D140-C140</f>
        <v>883.318031135101</v>
      </c>
      <c r="F140" s="21" t="n">
        <f aca="false">B140+C140-D140</f>
        <v>422005.075741845</v>
      </c>
    </row>
    <row r="141" customFormat="false" ht="15" hidden="false" customHeight="false" outlineLevel="0" collapsed="false">
      <c r="A141" s="13" t="n">
        <v>117</v>
      </c>
      <c r="B141" s="21" t="n">
        <f aca="false">F140</f>
        <v>422005.075741845</v>
      </c>
      <c r="C141" s="21" t="n">
        <f aca="false">B141*$B$12</f>
        <v>2110.02537870922</v>
      </c>
      <c r="D141" s="21" t="n">
        <f aca="false">MIN($B$15,B141+C141)</f>
        <v>2997.76</v>
      </c>
      <c r="E141" s="21" t="n">
        <f aca="false">D141-C141</f>
        <v>887.734621290776</v>
      </c>
      <c r="F141" s="21" t="n">
        <f aca="false">B141+C141-D141</f>
        <v>421117.341120554</v>
      </c>
    </row>
    <row r="142" customFormat="false" ht="15" hidden="false" customHeight="false" outlineLevel="0" collapsed="false">
      <c r="A142" s="13" t="n">
        <v>118</v>
      </c>
      <c r="B142" s="21" t="n">
        <f aca="false">F141</f>
        <v>421117.341120554</v>
      </c>
      <c r="C142" s="21" t="n">
        <f aca="false">B142*$B$12</f>
        <v>2105.58670560277</v>
      </c>
      <c r="D142" s="21" t="n">
        <f aca="false">MIN($B$15,B142+C142)</f>
        <v>2997.76</v>
      </c>
      <c r="E142" s="21" t="n">
        <f aca="false">D142-C142</f>
        <v>892.17329439723</v>
      </c>
      <c r="F142" s="21" t="n">
        <f aca="false">B142+C142-D142</f>
        <v>420225.167826157</v>
      </c>
    </row>
    <row r="143" customFormat="false" ht="15" hidden="false" customHeight="false" outlineLevel="0" collapsed="false">
      <c r="A143" s="13" t="n">
        <v>119</v>
      </c>
      <c r="B143" s="21" t="n">
        <f aca="false">F142</f>
        <v>420225.167826157</v>
      </c>
      <c r="C143" s="21" t="n">
        <f aca="false">B143*$B$12</f>
        <v>2101.12583913078</v>
      </c>
      <c r="D143" s="21" t="n">
        <f aca="false">MIN($B$15,B143+C143)</f>
        <v>2997.76</v>
      </c>
      <c r="E143" s="21" t="n">
        <f aca="false">D143-C143</f>
        <v>896.634160869216</v>
      </c>
      <c r="F143" s="21" t="n">
        <f aca="false">B143+C143-D143</f>
        <v>419328.533665288</v>
      </c>
    </row>
    <row r="144" customFormat="false" ht="15" hidden="false" customHeight="false" outlineLevel="0" collapsed="false">
      <c r="A144" s="13" t="n">
        <v>120</v>
      </c>
      <c r="B144" s="21" t="n">
        <f aca="false">F143</f>
        <v>419328.533665288</v>
      </c>
      <c r="C144" s="21" t="n">
        <f aca="false">B144*$B$12</f>
        <v>2096.64266832644</v>
      </c>
      <c r="D144" s="21" t="n">
        <f aca="false">MIN($B$15,B144+C144)</f>
        <v>2997.76</v>
      </c>
      <c r="E144" s="21" t="n">
        <f aca="false">D144-C144</f>
        <v>901.117331673563</v>
      </c>
      <c r="F144" s="21" t="n">
        <f aca="false">B144+C144-D144</f>
        <v>418427.416333614</v>
      </c>
    </row>
    <row r="145" customFormat="false" ht="15" hidden="false" customHeight="false" outlineLevel="0" collapsed="false">
      <c r="A145" s="13" t="n">
        <v>121</v>
      </c>
      <c r="B145" s="21" t="n">
        <f aca="false">F144</f>
        <v>418427.416333614</v>
      </c>
      <c r="C145" s="21" t="n">
        <f aca="false">B145*$B$12</f>
        <v>2092.13708166807</v>
      </c>
      <c r="D145" s="21" t="n">
        <f aca="false">MIN($B$15,B145+C145)</f>
        <v>2997.76</v>
      </c>
      <c r="E145" s="21" t="n">
        <f aca="false">D145-C145</f>
        <v>905.622918331931</v>
      </c>
      <c r="F145" s="21" t="n">
        <f aca="false">B145+C145-D145</f>
        <v>417521.793415282</v>
      </c>
    </row>
    <row r="146" customFormat="false" ht="15" hidden="false" customHeight="false" outlineLevel="0" collapsed="false">
      <c r="A146" s="13" t="n">
        <v>122</v>
      </c>
      <c r="B146" s="21" t="n">
        <f aca="false">F145</f>
        <v>417521.793415282</v>
      </c>
      <c r="C146" s="21" t="n">
        <f aca="false">B146*$B$12</f>
        <v>2087.60896707641</v>
      </c>
      <c r="D146" s="21" t="n">
        <f aca="false">MIN($B$15,B146+C146)</f>
        <v>2997.76</v>
      </c>
      <c r="E146" s="21" t="n">
        <f aca="false">D146-C146</f>
        <v>910.15103292359</v>
      </c>
      <c r="F146" s="21" t="n">
        <f aca="false">B146+C146-D146</f>
        <v>416611.642382358</v>
      </c>
    </row>
    <row r="147" customFormat="false" ht="15" hidden="false" customHeight="false" outlineLevel="0" collapsed="false">
      <c r="A147" s="13" t="n">
        <v>123</v>
      </c>
      <c r="B147" s="21" t="n">
        <f aca="false">F146</f>
        <v>416611.642382358</v>
      </c>
      <c r="C147" s="21" t="n">
        <f aca="false">B147*$B$12</f>
        <v>2083.05821191179</v>
      </c>
      <c r="D147" s="21" t="n">
        <f aca="false">MIN($B$15,B147+C147)</f>
        <v>2997.76</v>
      </c>
      <c r="E147" s="21" t="n">
        <f aca="false">D147-C147</f>
        <v>914.701788088208</v>
      </c>
      <c r="F147" s="21" t="n">
        <f aca="false">B147+C147-D147</f>
        <v>415696.94059427</v>
      </c>
    </row>
    <row r="148" customFormat="false" ht="15" hidden="false" customHeight="false" outlineLevel="0" collapsed="false">
      <c r="A148" s="13" t="n">
        <v>124</v>
      </c>
      <c r="B148" s="21" t="n">
        <f aca="false">F147</f>
        <v>415696.94059427</v>
      </c>
      <c r="C148" s="21" t="n">
        <f aca="false">B148*$B$12</f>
        <v>2078.48470297135</v>
      </c>
      <c r="D148" s="21" t="n">
        <f aca="false">MIN($B$15,B148+C148)</f>
        <v>2997.76</v>
      </c>
      <c r="E148" s="21" t="n">
        <f aca="false">D148-C148</f>
        <v>919.275297028649</v>
      </c>
      <c r="F148" s="21" t="n">
        <f aca="false">B148+C148-D148</f>
        <v>414777.665297242</v>
      </c>
    </row>
    <row r="149" customFormat="false" ht="15" hidden="false" customHeight="false" outlineLevel="0" collapsed="false">
      <c r="A149" s="13" t="n">
        <v>125</v>
      </c>
      <c r="B149" s="21" t="n">
        <f aca="false">F148</f>
        <v>414777.665297242</v>
      </c>
      <c r="C149" s="21" t="n">
        <f aca="false">B149*$B$12</f>
        <v>2073.88832648621</v>
      </c>
      <c r="D149" s="21" t="n">
        <f aca="false">MIN($B$15,B149+C149)</f>
        <v>2997.76</v>
      </c>
      <c r="E149" s="21" t="n">
        <f aca="false">D149-C149</f>
        <v>923.871673513792</v>
      </c>
      <c r="F149" s="21" t="n">
        <f aca="false">B149+C149-D149</f>
        <v>413853.793623728</v>
      </c>
    </row>
    <row r="150" customFormat="false" ht="15" hidden="false" customHeight="false" outlineLevel="0" collapsed="false">
      <c r="A150" s="13" t="n">
        <v>126</v>
      </c>
      <c r="B150" s="21" t="n">
        <f aca="false">F149</f>
        <v>413853.793623728</v>
      </c>
      <c r="C150" s="21" t="n">
        <f aca="false">B150*$B$12</f>
        <v>2069.26896811864</v>
      </c>
      <c r="D150" s="21" t="n">
        <f aca="false">MIN($B$15,B150+C150)</f>
        <v>2997.76</v>
      </c>
      <c r="E150" s="21" t="n">
        <f aca="false">D150-C150</f>
        <v>928.491031881361</v>
      </c>
      <c r="F150" s="21" t="n">
        <f aca="false">B150+C150-D150</f>
        <v>412925.302591846</v>
      </c>
    </row>
    <row r="151" customFormat="false" ht="15" hidden="false" customHeight="false" outlineLevel="0" collapsed="false">
      <c r="A151" s="13" t="n">
        <v>127</v>
      </c>
      <c r="B151" s="21" t="n">
        <f aca="false">F150</f>
        <v>412925.302591846</v>
      </c>
      <c r="C151" s="21" t="n">
        <f aca="false">B151*$B$12</f>
        <v>2064.62651295923</v>
      </c>
      <c r="D151" s="21" t="n">
        <f aca="false">MIN($B$15,B151+C151)</f>
        <v>2997.76</v>
      </c>
      <c r="E151" s="21" t="n">
        <f aca="false">D151-C151</f>
        <v>933.133487040768</v>
      </c>
      <c r="F151" s="21" t="n">
        <f aca="false">B151+C151-D151</f>
        <v>411992.169104806</v>
      </c>
    </row>
    <row r="152" customFormat="false" ht="15" hidden="false" customHeight="false" outlineLevel="0" collapsed="false">
      <c r="A152" s="13" t="n">
        <v>128</v>
      </c>
      <c r="B152" s="21" t="n">
        <f aca="false">F151</f>
        <v>411992.169104806</v>
      </c>
      <c r="C152" s="21" t="n">
        <f aca="false">B152*$B$12</f>
        <v>2059.96084552403</v>
      </c>
      <c r="D152" s="21" t="n">
        <f aca="false">MIN($B$15,B152+C152)</f>
        <v>2997.76</v>
      </c>
      <c r="E152" s="21" t="n">
        <f aca="false">D152-C152</f>
        <v>937.799154475972</v>
      </c>
      <c r="F152" s="21" t="n">
        <f aca="false">B152+C152-D152</f>
        <v>411054.36995033</v>
      </c>
    </row>
    <row r="153" customFormat="false" ht="15" hidden="false" customHeight="false" outlineLevel="0" collapsed="false">
      <c r="A153" s="13" t="n">
        <v>129</v>
      </c>
      <c r="B153" s="21" t="n">
        <f aca="false">F152</f>
        <v>411054.36995033</v>
      </c>
      <c r="C153" s="21" t="n">
        <f aca="false">B153*$B$12</f>
        <v>2055.27184975165</v>
      </c>
      <c r="D153" s="21" t="n">
        <f aca="false">MIN($B$15,B153+C153)</f>
        <v>2997.76</v>
      </c>
      <c r="E153" s="21" t="n">
        <f aca="false">D153-C153</f>
        <v>942.488150248352</v>
      </c>
      <c r="F153" s="21" t="n">
        <f aca="false">B153+C153-D153</f>
        <v>410111.881800081</v>
      </c>
    </row>
    <row r="154" customFormat="false" ht="15" hidden="false" customHeight="false" outlineLevel="0" collapsed="false">
      <c r="A154" s="13" t="n">
        <v>130</v>
      </c>
      <c r="B154" s="21" t="n">
        <f aca="false">F153</f>
        <v>410111.881800081</v>
      </c>
      <c r="C154" s="21" t="n">
        <f aca="false">B154*$B$12</f>
        <v>2050.55940900041</v>
      </c>
      <c r="D154" s="21" t="n">
        <f aca="false">MIN($B$15,B154+C154)</f>
        <v>2997.76</v>
      </c>
      <c r="E154" s="21" t="n">
        <f aca="false">D154-C154</f>
        <v>947.200590999594</v>
      </c>
      <c r="F154" s="21" t="n">
        <f aca="false">B154+C154-D154</f>
        <v>409164.681209082</v>
      </c>
    </row>
    <row r="155" customFormat="false" ht="15" hidden="false" customHeight="false" outlineLevel="0" collapsed="false">
      <c r="A155" s="13" t="n">
        <v>131</v>
      </c>
      <c r="B155" s="21" t="n">
        <f aca="false">F154</f>
        <v>409164.681209082</v>
      </c>
      <c r="C155" s="21" t="n">
        <f aca="false">B155*$B$12</f>
        <v>2045.82340604541</v>
      </c>
      <c r="D155" s="21" t="n">
        <f aca="false">MIN($B$15,B155+C155)</f>
        <v>2997.76</v>
      </c>
      <c r="E155" s="21" t="n">
        <f aca="false">D155-C155</f>
        <v>951.936593954592</v>
      </c>
      <c r="F155" s="21" t="n">
        <f aca="false">B155+C155-D155</f>
        <v>408212.744615127</v>
      </c>
    </row>
    <row r="156" customFormat="false" ht="15" hidden="false" customHeight="false" outlineLevel="0" collapsed="false">
      <c r="A156" s="13" t="n">
        <v>132</v>
      </c>
      <c r="B156" s="21" t="n">
        <f aca="false">F155</f>
        <v>408212.744615127</v>
      </c>
      <c r="C156" s="21" t="n">
        <f aca="false">B156*$B$12</f>
        <v>2041.06372307564</v>
      </c>
      <c r="D156" s="21" t="n">
        <f aca="false">MIN($B$15,B156+C156)</f>
        <v>2997.76</v>
      </c>
      <c r="E156" s="21" t="n">
        <f aca="false">D156-C156</f>
        <v>956.696276924365</v>
      </c>
      <c r="F156" s="21" t="n">
        <f aca="false">B156+C156-D156</f>
        <v>407256.048338203</v>
      </c>
    </row>
    <row r="157" customFormat="false" ht="15" hidden="false" customHeight="false" outlineLevel="0" collapsed="false">
      <c r="A157" s="13" t="n">
        <v>133</v>
      </c>
      <c r="B157" s="21" t="n">
        <f aca="false">F156</f>
        <v>407256.048338203</v>
      </c>
      <c r="C157" s="21" t="n">
        <f aca="false">B157*$B$12</f>
        <v>2036.28024169101</v>
      </c>
      <c r="D157" s="21" t="n">
        <f aca="false">MIN($B$15,B157+C157)</f>
        <v>2997.76</v>
      </c>
      <c r="E157" s="21" t="n">
        <f aca="false">D157-C157</f>
        <v>961.479758308987</v>
      </c>
      <c r="F157" s="21" t="n">
        <f aca="false">B157+C157-D157</f>
        <v>406294.568579894</v>
      </c>
    </row>
    <row r="158" customFormat="false" ht="15" hidden="false" customHeight="false" outlineLevel="0" collapsed="false">
      <c r="A158" s="13" t="n">
        <v>134</v>
      </c>
      <c r="B158" s="21" t="n">
        <f aca="false">F157</f>
        <v>406294.568579894</v>
      </c>
      <c r="C158" s="21" t="n">
        <f aca="false">B158*$B$12</f>
        <v>2031.47284289947</v>
      </c>
      <c r="D158" s="21" t="n">
        <f aca="false">MIN($B$15,B158+C158)</f>
        <v>2997.76</v>
      </c>
      <c r="E158" s="21" t="n">
        <f aca="false">D158-C158</f>
        <v>966.287157100532</v>
      </c>
      <c r="F158" s="21" t="n">
        <f aca="false">B158+C158-D158</f>
        <v>405328.281422793</v>
      </c>
    </row>
    <row r="159" customFormat="false" ht="15" hidden="false" customHeight="false" outlineLevel="0" collapsed="false">
      <c r="A159" s="13" t="n">
        <v>135</v>
      </c>
      <c r="B159" s="21" t="n">
        <f aca="false">F158</f>
        <v>405328.281422793</v>
      </c>
      <c r="C159" s="21" t="n">
        <f aca="false">B159*$B$12</f>
        <v>2026.64140711397</v>
      </c>
      <c r="D159" s="21" t="n">
        <f aca="false">MIN($B$15,B159+C159)</f>
        <v>2997.76</v>
      </c>
      <c r="E159" s="21" t="n">
        <f aca="false">D159-C159</f>
        <v>971.118592886035</v>
      </c>
      <c r="F159" s="21" t="n">
        <f aca="false">B159+C159-D159</f>
        <v>404357.162829907</v>
      </c>
    </row>
    <row r="160" customFormat="false" ht="15" hidden="false" customHeight="false" outlineLevel="0" collapsed="false">
      <c r="A160" s="13" t="n">
        <v>136</v>
      </c>
      <c r="B160" s="21" t="n">
        <f aca="false">F159</f>
        <v>404357.162829907</v>
      </c>
      <c r="C160" s="21" t="n">
        <f aca="false">B160*$B$12</f>
        <v>2021.78581414954</v>
      </c>
      <c r="D160" s="21" t="n">
        <f aca="false">MIN($B$15,B160+C160)</f>
        <v>2997.76</v>
      </c>
      <c r="E160" s="21" t="n">
        <f aca="false">D160-C160</f>
        <v>975.974185850465</v>
      </c>
      <c r="F160" s="21" t="n">
        <f aca="false">B160+C160-D160</f>
        <v>403381.188644057</v>
      </c>
    </row>
    <row r="161" customFormat="false" ht="15" hidden="false" customHeight="false" outlineLevel="0" collapsed="false">
      <c r="A161" s="13" t="n">
        <v>137</v>
      </c>
      <c r="B161" s="21" t="n">
        <f aca="false">F160</f>
        <v>403381.188644057</v>
      </c>
      <c r="C161" s="21" t="n">
        <f aca="false">B161*$B$12</f>
        <v>2016.90594322028</v>
      </c>
      <c r="D161" s="21" t="n">
        <f aca="false">MIN($B$15,B161+C161)</f>
        <v>2997.76</v>
      </c>
      <c r="E161" s="21" t="n">
        <f aca="false">D161-C161</f>
        <v>980.854056779717</v>
      </c>
      <c r="F161" s="21" t="n">
        <f aca="false">B161+C161-D161</f>
        <v>402400.334587277</v>
      </c>
    </row>
    <row r="162" customFormat="false" ht="15" hidden="false" customHeight="false" outlineLevel="0" collapsed="false">
      <c r="A162" s="13" t="n">
        <v>138</v>
      </c>
      <c r="B162" s="21" t="n">
        <f aca="false">F161</f>
        <v>402400.334587277</v>
      </c>
      <c r="C162" s="21" t="n">
        <f aca="false">B162*$B$12</f>
        <v>2012.00167293638</v>
      </c>
      <c r="D162" s="21" t="n">
        <f aca="false">MIN($B$15,B162+C162)</f>
        <v>2997.76</v>
      </c>
      <c r="E162" s="21" t="n">
        <f aca="false">D162-C162</f>
        <v>985.758327063616</v>
      </c>
      <c r="F162" s="21" t="n">
        <f aca="false">B162+C162-D162</f>
        <v>401414.576260213</v>
      </c>
    </row>
    <row r="163" customFormat="false" ht="15" hidden="false" customHeight="false" outlineLevel="0" collapsed="false">
      <c r="A163" s="13" t="n">
        <v>139</v>
      </c>
      <c r="B163" s="21" t="n">
        <f aca="false">F162</f>
        <v>401414.576260213</v>
      </c>
      <c r="C163" s="21" t="n">
        <f aca="false">B163*$B$12</f>
        <v>2007.07288130107</v>
      </c>
      <c r="D163" s="21" t="n">
        <f aca="false">MIN($B$15,B163+C163)</f>
        <v>2997.76</v>
      </c>
      <c r="E163" s="21" t="n">
        <f aca="false">D163-C163</f>
        <v>990.687118698934</v>
      </c>
      <c r="F163" s="21" t="n">
        <f aca="false">B163+C163-D163</f>
        <v>400423.889141514</v>
      </c>
    </row>
    <row r="164" customFormat="false" ht="15" hidden="false" customHeight="false" outlineLevel="0" collapsed="false">
      <c r="A164" s="13" t="n">
        <v>140</v>
      </c>
      <c r="B164" s="21" t="n">
        <f aca="false">F163</f>
        <v>400423.889141514</v>
      </c>
      <c r="C164" s="21" t="n">
        <f aca="false">B164*$B$12</f>
        <v>2002.11944570757</v>
      </c>
      <c r="D164" s="21" t="n">
        <f aca="false">MIN($B$15,B164+C164)</f>
        <v>2997.76</v>
      </c>
      <c r="E164" s="21" t="n">
        <f aca="false">D164-C164</f>
        <v>995.640554292429</v>
      </c>
      <c r="F164" s="21" t="n">
        <f aca="false">B164+C164-D164</f>
        <v>399428.248587222</v>
      </c>
    </row>
    <row r="165" customFormat="false" ht="15" hidden="false" customHeight="false" outlineLevel="0" collapsed="false">
      <c r="A165" s="13" t="n">
        <v>141</v>
      </c>
      <c r="B165" s="21" t="n">
        <f aca="false">F164</f>
        <v>399428.248587222</v>
      </c>
      <c r="C165" s="21" t="n">
        <f aca="false">B165*$B$12</f>
        <v>1997.14124293611</v>
      </c>
      <c r="D165" s="21" t="n">
        <f aca="false">MIN($B$15,B165+C165)</f>
        <v>2997.76</v>
      </c>
      <c r="E165" s="21" t="n">
        <f aca="false">D165-C165</f>
        <v>1000.61875706389</v>
      </c>
      <c r="F165" s="21" t="n">
        <f aca="false">B165+C165-D165</f>
        <v>398427.629830158</v>
      </c>
    </row>
    <row r="166" customFormat="false" ht="15" hidden="false" customHeight="false" outlineLevel="0" collapsed="false">
      <c r="A166" s="13" t="n">
        <v>142</v>
      </c>
      <c r="B166" s="21" t="n">
        <f aca="false">F165</f>
        <v>398427.629830158</v>
      </c>
      <c r="C166" s="21" t="n">
        <f aca="false">B166*$B$12</f>
        <v>1992.13814915079</v>
      </c>
      <c r="D166" s="21" t="n">
        <f aca="false">MIN($B$15,B166+C166)</f>
        <v>2997.76</v>
      </c>
      <c r="E166" s="21" t="n">
        <f aca="false">D166-C166</f>
        <v>1005.62185084921</v>
      </c>
      <c r="F166" s="21" t="n">
        <f aca="false">B166+C166-D166</f>
        <v>397422.007979309</v>
      </c>
    </row>
    <row r="167" customFormat="false" ht="15" hidden="false" customHeight="false" outlineLevel="0" collapsed="false">
      <c r="A167" s="13" t="n">
        <v>143</v>
      </c>
      <c r="B167" s="21" t="n">
        <f aca="false">F166</f>
        <v>397422.007979309</v>
      </c>
      <c r="C167" s="21" t="n">
        <f aca="false">B167*$B$12</f>
        <v>1987.11003989654</v>
      </c>
      <c r="D167" s="21" t="n">
        <f aca="false">MIN($B$15,B167+C167)</f>
        <v>2997.76</v>
      </c>
      <c r="E167" s="21" t="n">
        <f aca="false">D167-C167</f>
        <v>1010.64996010346</v>
      </c>
      <c r="F167" s="21" t="n">
        <f aca="false">B167+C167-D167</f>
        <v>396411.358019205</v>
      </c>
    </row>
    <row r="168" customFormat="false" ht="15" hidden="false" customHeight="false" outlineLevel="0" collapsed="false">
      <c r="A168" s="13" t="n">
        <v>144</v>
      </c>
      <c r="B168" s="21" t="n">
        <f aca="false">F167</f>
        <v>396411.358019205</v>
      </c>
      <c r="C168" s="21" t="n">
        <f aca="false">B168*$B$12</f>
        <v>1982.05679009603</v>
      </c>
      <c r="D168" s="21" t="n">
        <f aca="false">MIN($B$15,B168+C168)</f>
        <v>2997.76</v>
      </c>
      <c r="E168" s="21" t="n">
        <f aca="false">D168-C168</f>
        <v>1015.70320990397</v>
      </c>
      <c r="F168" s="21" t="n">
        <f aca="false">B168+C168-D168</f>
        <v>395395.654809301</v>
      </c>
    </row>
    <row r="169" customFormat="false" ht="15" hidden="false" customHeight="false" outlineLevel="0" collapsed="false">
      <c r="A169" s="13" t="n">
        <v>145</v>
      </c>
      <c r="B169" s="21" t="n">
        <f aca="false">F168</f>
        <v>395395.654809301</v>
      </c>
      <c r="C169" s="21" t="n">
        <f aca="false">B169*$B$12</f>
        <v>1976.97827404651</v>
      </c>
      <c r="D169" s="21" t="n">
        <f aca="false">MIN($B$15,B169+C169)</f>
        <v>2997.76</v>
      </c>
      <c r="E169" s="21" t="n">
        <f aca="false">D169-C169</f>
        <v>1020.78172595349</v>
      </c>
      <c r="F169" s="21" t="n">
        <f aca="false">B169+C169-D169</f>
        <v>394374.873083348</v>
      </c>
    </row>
    <row r="170" customFormat="false" ht="15" hidden="false" customHeight="false" outlineLevel="0" collapsed="false">
      <c r="A170" s="13" t="n">
        <v>146</v>
      </c>
      <c r="B170" s="21" t="n">
        <f aca="false">F169</f>
        <v>394374.873083348</v>
      </c>
      <c r="C170" s="21" t="n">
        <f aca="false">B170*$B$12</f>
        <v>1971.87436541674</v>
      </c>
      <c r="D170" s="21" t="n">
        <f aca="false">MIN($B$15,B170+C170)</f>
        <v>2997.76</v>
      </c>
      <c r="E170" s="21" t="n">
        <f aca="false">D170-C170</f>
        <v>1025.88563458326</v>
      </c>
      <c r="F170" s="21" t="n">
        <f aca="false">B170+C170-D170</f>
        <v>393348.987448765</v>
      </c>
    </row>
    <row r="171" customFormat="false" ht="15" hidden="false" customHeight="false" outlineLevel="0" collapsed="false">
      <c r="A171" s="13" t="n">
        <v>147</v>
      </c>
      <c r="B171" s="21" t="n">
        <f aca="false">F170</f>
        <v>393348.987448765</v>
      </c>
      <c r="C171" s="21" t="n">
        <f aca="false">B171*$B$12</f>
        <v>1966.74493724382</v>
      </c>
      <c r="D171" s="21" t="n">
        <f aca="false">MIN($B$15,B171+C171)</f>
        <v>2997.76</v>
      </c>
      <c r="E171" s="21" t="n">
        <f aca="false">D171-C171</f>
        <v>1031.01506275618</v>
      </c>
      <c r="F171" s="21" t="n">
        <f aca="false">B171+C171-D171</f>
        <v>392317.972386008</v>
      </c>
    </row>
    <row r="172" customFormat="false" ht="15" hidden="false" customHeight="false" outlineLevel="0" collapsed="false">
      <c r="A172" s="13" t="n">
        <v>148</v>
      </c>
      <c r="B172" s="21" t="n">
        <f aca="false">F171</f>
        <v>392317.972386008</v>
      </c>
      <c r="C172" s="21" t="n">
        <f aca="false">B172*$B$12</f>
        <v>1961.58986193004</v>
      </c>
      <c r="D172" s="21" t="n">
        <f aca="false">MIN($B$15,B172+C172)</f>
        <v>2997.76</v>
      </c>
      <c r="E172" s="21" t="n">
        <f aca="false">D172-C172</f>
        <v>1036.17013806996</v>
      </c>
      <c r="F172" s="21" t="n">
        <f aca="false">B172+C172-D172</f>
        <v>391281.802247938</v>
      </c>
    </row>
    <row r="173" customFormat="false" ht="15" hidden="false" customHeight="false" outlineLevel="0" collapsed="false">
      <c r="A173" s="13" t="n">
        <v>149</v>
      </c>
      <c r="B173" s="21" t="n">
        <f aca="false">F172</f>
        <v>391281.802247938</v>
      </c>
      <c r="C173" s="21" t="n">
        <f aca="false">B173*$B$12</f>
        <v>1956.40901123969</v>
      </c>
      <c r="D173" s="21" t="n">
        <f aca="false">MIN($B$15,B173+C173)</f>
        <v>2997.76</v>
      </c>
      <c r="E173" s="21" t="n">
        <f aca="false">D173-C173</f>
        <v>1041.35098876031</v>
      </c>
      <c r="F173" s="21" t="n">
        <f aca="false">B173+C173-D173</f>
        <v>390240.451259178</v>
      </c>
    </row>
    <row r="174" customFormat="false" ht="15" hidden="false" customHeight="false" outlineLevel="0" collapsed="false">
      <c r="A174" s="13" t="n">
        <v>150</v>
      </c>
      <c r="B174" s="21" t="n">
        <f aca="false">F173</f>
        <v>390240.451259178</v>
      </c>
      <c r="C174" s="21" t="n">
        <f aca="false">B174*$B$12</f>
        <v>1951.20225629589</v>
      </c>
      <c r="D174" s="21" t="n">
        <f aca="false">MIN($B$15,B174+C174)</f>
        <v>2997.76</v>
      </c>
      <c r="E174" s="21" t="n">
        <f aca="false">D174-C174</f>
        <v>1046.55774370411</v>
      </c>
      <c r="F174" s="21" t="n">
        <f aca="false">B174+C174-D174</f>
        <v>389193.893515474</v>
      </c>
    </row>
    <row r="175" customFormat="false" ht="15" hidden="false" customHeight="false" outlineLevel="0" collapsed="false">
      <c r="A175" s="13" t="n">
        <v>151</v>
      </c>
      <c r="B175" s="21" t="n">
        <f aca="false">F174</f>
        <v>389193.893515474</v>
      </c>
      <c r="C175" s="21" t="n">
        <f aca="false">B175*$B$12</f>
        <v>1945.96946757737</v>
      </c>
      <c r="D175" s="21" t="n">
        <f aca="false">MIN($B$15,B175+C175)</f>
        <v>2997.76</v>
      </c>
      <c r="E175" s="21" t="n">
        <f aca="false">D175-C175</f>
        <v>1051.79053242263</v>
      </c>
      <c r="F175" s="21" t="n">
        <f aca="false">B175+C175-D175</f>
        <v>388142.102983051</v>
      </c>
    </row>
    <row r="176" customFormat="false" ht="15" hidden="false" customHeight="false" outlineLevel="0" collapsed="false">
      <c r="A176" s="13" t="n">
        <v>152</v>
      </c>
      <c r="B176" s="21" t="n">
        <f aca="false">F175</f>
        <v>388142.102983051</v>
      </c>
      <c r="C176" s="21" t="n">
        <f aca="false">B176*$B$12</f>
        <v>1940.71051491526</v>
      </c>
      <c r="D176" s="21" t="n">
        <f aca="false">MIN($B$15,B176+C176)</f>
        <v>2997.76</v>
      </c>
      <c r="E176" s="21" t="n">
        <f aca="false">D176-C176</f>
        <v>1057.04948508474</v>
      </c>
      <c r="F176" s="21" t="n">
        <f aca="false">B176+C176-D176</f>
        <v>387085.053497967</v>
      </c>
    </row>
    <row r="177" customFormat="false" ht="15" hidden="false" customHeight="false" outlineLevel="0" collapsed="false">
      <c r="A177" s="13" t="n">
        <v>153</v>
      </c>
      <c r="B177" s="21" t="n">
        <f aca="false">F176</f>
        <v>387085.053497967</v>
      </c>
      <c r="C177" s="21" t="n">
        <f aca="false">B177*$B$12</f>
        <v>1935.42526748983</v>
      </c>
      <c r="D177" s="21" t="n">
        <f aca="false">MIN($B$15,B177+C177)</f>
        <v>2997.76</v>
      </c>
      <c r="E177" s="21" t="n">
        <f aca="false">D177-C177</f>
        <v>1062.33473251017</v>
      </c>
      <c r="F177" s="21" t="n">
        <f aca="false">B177+C177-D177</f>
        <v>386022.718765456</v>
      </c>
    </row>
    <row r="178" customFormat="false" ht="15" hidden="false" customHeight="false" outlineLevel="0" collapsed="false">
      <c r="A178" s="13" t="n">
        <v>154</v>
      </c>
      <c r="B178" s="21" t="n">
        <f aca="false">F177</f>
        <v>386022.718765456</v>
      </c>
      <c r="C178" s="21" t="n">
        <f aca="false">B178*$B$12</f>
        <v>1930.11359382728</v>
      </c>
      <c r="D178" s="21" t="n">
        <f aca="false">MIN($B$15,B178+C178)</f>
        <v>2997.76</v>
      </c>
      <c r="E178" s="21" t="n">
        <f aca="false">D178-C178</f>
        <v>1067.64640617272</v>
      </c>
      <c r="F178" s="21" t="n">
        <f aca="false">B178+C178-D178</f>
        <v>384955.072359284</v>
      </c>
    </row>
    <row r="179" customFormat="false" ht="15" hidden="false" customHeight="false" outlineLevel="0" collapsed="false">
      <c r="A179" s="13" t="n">
        <v>155</v>
      </c>
      <c r="B179" s="21" t="n">
        <f aca="false">F178</f>
        <v>384955.072359284</v>
      </c>
      <c r="C179" s="21" t="n">
        <f aca="false">B179*$B$12</f>
        <v>1924.77536179642</v>
      </c>
      <c r="D179" s="21" t="n">
        <f aca="false">MIN($B$15,B179+C179)</f>
        <v>2997.76</v>
      </c>
      <c r="E179" s="21" t="n">
        <f aca="false">D179-C179</f>
        <v>1072.98463820358</v>
      </c>
      <c r="F179" s="21" t="n">
        <f aca="false">B179+C179-D179</f>
        <v>383882.08772108</v>
      </c>
    </row>
    <row r="180" customFormat="false" ht="15" hidden="false" customHeight="false" outlineLevel="0" collapsed="false">
      <c r="A180" s="13" t="n">
        <v>156</v>
      </c>
      <c r="B180" s="21" t="n">
        <f aca="false">F179</f>
        <v>383882.08772108</v>
      </c>
      <c r="C180" s="21" t="n">
        <f aca="false">B180*$B$12</f>
        <v>1919.4104386054</v>
      </c>
      <c r="D180" s="21" t="n">
        <f aca="false">MIN($B$15,B180+C180)</f>
        <v>2997.76</v>
      </c>
      <c r="E180" s="21" t="n">
        <f aca="false">D180-C180</f>
        <v>1078.3495613946</v>
      </c>
      <c r="F180" s="21" t="n">
        <f aca="false">B180+C180-D180</f>
        <v>382803.738159686</v>
      </c>
    </row>
    <row r="181" customFormat="false" ht="15" hidden="false" customHeight="false" outlineLevel="0" collapsed="false">
      <c r="A181" s="13" t="n">
        <v>157</v>
      </c>
      <c r="B181" s="21" t="n">
        <f aca="false">F180</f>
        <v>382803.738159686</v>
      </c>
      <c r="C181" s="21" t="n">
        <f aca="false">B181*$B$12</f>
        <v>1914.01869079843</v>
      </c>
      <c r="D181" s="21" t="n">
        <f aca="false">MIN($B$15,B181+C181)</f>
        <v>2997.76</v>
      </c>
      <c r="E181" s="21" t="n">
        <f aca="false">D181-C181</f>
        <v>1083.74130920157</v>
      </c>
      <c r="F181" s="21" t="n">
        <f aca="false">B181+C181-D181</f>
        <v>381719.996850484</v>
      </c>
    </row>
    <row r="182" customFormat="false" ht="15" hidden="false" customHeight="false" outlineLevel="0" collapsed="false">
      <c r="A182" s="13" t="n">
        <v>158</v>
      </c>
      <c r="B182" s="21" t="n">
        <f aca="false">F181</f>
        <v>381719.996850484</v>
      </c>
      <c r="C182" s="21" t="n">
        <f aca="false">B182*$B$12</f>
        <v>1908.59998425242</v>
      </c>
      <c r="D182" s="21" t="n">
        <f aca="false">MIN($B$15,B182+C182)</f>
        <v>2997.76</v>
      </c>
      <c r="E182" s="21" t="n">
        <f aca="false">D182-C182</f>
        <v>1089.16001574758</v>
      </c>
      <c r="F182" s="21" t="n">
        <f aca="false">B182+C182-D182</f>
        <v>380630.836834736</v>
      </c>
    </row>
    <row r="183" customFormat="false" ht="15" hidden="false" customHeight="false" outlineLevel="0" collapsed="false">
      <c r="A183" s="13" t="n">
        <v>159</v>
      </c>
      <c r="B183" s="21" t="n">
        <f aca="false">F182</f>
        <v>380630.836834736</v>
      </c>
      <c r="C183" s="21" t="n">
        <f aca="false">B183*$B$12</f>
        <v>1903.15418417368</v>
      </c>
      <c r="D183" s="21" t="n">
        <f aca="false">MIN($B$15,B183+C183)</f>
        <v>2997.76</v>
      </c>
      <c r="E183" s="21" t="n">
        <f aca="false">D183-C183</f>
        <v>1094.60581582632</v>
      </c>
      <c r="F183" s="21" t="n">
        <f aca="false">B183+C183-D183</f>
        <v>379536.23101891</v>
      </c>
    </row>
    <row r="184" customFormat="false" ht="15" hidden="false" customHeight="false" outlineLevel="0" collapsed="false">
      <c r="A184" s="13" t="n">
        <v>160</v>
      </c>
      <c r="B184" s="21" t="n">
        <f aca="false">F183</f>
        <v>379536.23101891</v>
      </c>
      <c r="C184" s="21" t="n">
        <f aca="false">B184*$B$12</f>
        <v>1897.68115509455</v>
      </c>
      <c r="D184" s="21" t="n">
        <f aca="false">MIN($B$15,B184+C184)</f>
        <v>2997.76</v>
      </c>
      <c r="E184" s="21" t="n">
        <f aca="false">D184-C184</f>
        <v>1100.07884490545</v>
      </c>
      <c r="F184" s="21" t="n">
        <f aca="false">B184+C184-D184</f>
        <v>378436.152174005</v>
      </c>
    </row>
    <row r="185" customFormat="false" ht="15" hidden="false" customHeight="false" outlineLevel="0" collapsed="false">
      <c r="A185" s="13" t="n">
        <v>161</v>
      </c>
      <c r="B185" s="21" t="n">
        <f aca="false">F184</f>
        <v>378436.152174005</v>
      </c>
      <c r="C185" s="21" t="n">
        <f aca="false">B185*$B$12</f>
        <v>1892.18076087002</v>
      </c>
      <c r="D185" s="21" t="n">
        <f aca="false">MIN($B$15,B185+C185)</f>
        <v>2997.76</v>
      </c>
      <c r="E185" s="21" t="n">
        <f aca="false">D185-C185</f>
        <v>1105.57923912998</v>
      </c>
      <c r="F185" s="21" t="n">
        <f aca="false">B185+C185-D185</f>
        <v>377330.572934875</v>
      </c>
    </row>
    <row r="186" customFormat="false" ht="15" hidden="false" customHeight="false" outlineLevel="0" collapsed="false">
      <c r="A186" s="13" t="n">
        <v>162</v>
      </c>
      <c r="B186" s="21" t="n">
        <f aca="false">F185</f>
        <v>377330.572934875</v>
      </c>
      <c r="C186" s="21" t="n">
        <f aca="false">B186*$B$12</f>
        <v>1886.65286467437</v>
      </c>
      <c r="D186" s="21" t="n">
        <f aca="false">MIN($B$15,B186+C186)</f>
        <v>2997.76</v>
      </c>
      <c r="E186" s="21" t="n">
        <f aca="false">D186-C186</f>
        <v>1111.10713532563</v>
      </c>
      <c r="F186" s="21" t="n">
        <f aca="false">B186+C186-D186</f>
        <v>376219.465799549</v>
      </c>
    </row>
    <row r="187" customFormat="false" ht="15" hidden="false" customHeight="false" outlineLevel="0" collapsed="false">
      <c r="A187" s="13" t="n">
        <v>163</v>
      </c>
      <c r="B187" s="21" t="n">
        <f aca="false">F186</f>
        <v>376219.465799549</v>
      </c>
      <c r="C187" s="21" t="n">
        <f aca="false">B187*$B$12</f>
        <v>1881.09732899775</v>
      </c>
      <c r="D187" s="21" t="n">
        <f aca="false">MIN($B$15,B187+C187)</f>
        <v>2997.76</v>
      </c>
      <c r="E187" s="21" t="n">
        <f aca="false">D187-C187</f>
        <v>1116.66267100226</v>
      </c>
      <c r="F187" s="21" t="n">
        <f aca="false">B187+C187-D187</f>
        <v>375102.803128547</v>
      </c>
    </row>
    <row r="188" customFormat="false" ht="15" hidden="false" customHeight="false" outlineLevel="0" collapsed="false">
      <c r="A188" s="13" t="n">
        <v>164</v>
      </c>
      <c r="B188" s="21" t="n">
        <f aca="false">F187</f>
        <v>375102.803128547</v>
      </c>
      <c r="C188" s="21" t="n">
        <f aca="false">B188*$B$12</f>
        <v>1875.51401564273</v>
      </c>
      <c r="D188" s="21" t="n">
        <f aca="false">MIN($B$15,B188+C188)</f>
        <v>2997.76</v>
      </c>
      <c r="E188" s="21" t="n">
        <f aca="false">D188-C188</f>
        <v>1122.24598435727</v>
      </c>
      <c r="F188" s="21" t="n">
        <f aca="false">B188+C188-D188</f>
        <v>373980.55714419</v>
      </c>
    </row>
    <row r="189" customFormat="false" ht="15" hidden="false" customHeight="false" outlineLevel="0" collapsed="false">
      <c r="A189" s="13" t="n">
        <v>165</v>
      </c>
      <c r="B189" s="21" t="n">
        <f aca="false">F188</f>
        <v>373980.55714419</v>
      </c>
      <c r="C189" s="21" t="n">
        <f aca="false">B189*$B$12</f>
        <v>1869.90278572095</v>
      </c>
      <c r="D189" s="21" t="n">
        <f aca="false">MIN($B$15,B189+C189)</f>
        <v>2997.76</v>
      </c>
      <c r="E189" s="21" t="n">
        <f aca="false">D189-C189</f>
        <v>1127.85721427905</v>
      </c>
      <c r="F189" s="21" t="n">
        <f aca="false">B189+C189-D189</f>
        <v>372852.69992991</v>
      </c>
    </row>
    <row r="190" customFormat="false" ht="15" hidden="false" customHeight="false" outlineLevel="0" collapsed="false">
      <c r="A190" s="13" t="n">
        <v>166</v>
      </c>
      <c r="B190" s="21" t="n">
        <f aca="false">F189</f>
        <v>372852.69992991</v>
      </c>
      <c r="C190" s="21" t="n">
        <f aca="false">B190*$B$12</f>
        <v>1864.26349964955</v>
      </c>
      <c r="D190" s="21" t="n">
        <f aca="false">MIN($B$15,B190+C190)</f>
        <v>2997.76</v>
      </c>
      <c r="E190" s="21" t="n">
        <f aca="false">D190-C190</f>
        <v>1133.49650035045</v>
      </c>
      <c r="F190" s="21" t="n">
        <f aca="false">B190+C190-D190</f>
        <v>371719.20342956</v>
      </c>
    </row>
    <row r="191" customFormat="false" ht="15" hidden="false" customHeight="false" outlineLevel="0" collapsed="false">
      <c r="A191" s="13" t="n">
        <v>167</v>
      </c>
      <c r="B191" s="21" t="n">
        <f aca="false">F190</f>
        <v>371719.20342956</v>
      </c>
      <c r="C191" s="21" t="n">
        <f aca="false">B191*$B$12</f>
        <v>1858.5960171478</v>
      </c>
      <c r="D191" s="21" t="n">
        <f aca="false">MIN($B$15,B191+C191)</f>
        <v>2997.76</v>
      </c>
      <c r="E191" s="21" t="n">
        <f aca="false">D191-C191</f>
        <v>1139.1639828522</v>
      </c>
      <c r="F191" s="21" t="n">
        <f aca="false">B191+C191-D191</f>
        <v>370580.039446708</v>
      </c>
    </row>
    <row r="192" customFormat="false" ht="15" hidden="false" customHeight="false" outlineLevel="0" collapsed="false">
      <c r="A192" s="13" t="n">
        <v>168</v>
      </c>
      <c r="B192" s="21" t="n">
        <f aca="false">F191</f>
        <v>370580.039446708</v>
      </c>
      <c r="C192" s="21" t="n">
        <f aca="false">B192*$B$12</f>
        <v>1852.90019723354</v>
      </c>
      <c r="D192" s="21" t="n">
        <f aca="false">MIN($B$15,B192+C192)</f>
        <v>2997.76</v>
      </c>
      <c r="E192" s="21" t="n">
        <f aca="false">D192-C192</f>
        <v>1144.85980276646</v>
      </c>
      <c r="F192" s="21" t="n">
        <f aca="false">B192+C192-D192</f>
        <v>369435.179643941</v>
      </c>
    </row>
    <row r="193" customFormat="false" ht="15" hidden="false" customHeight="false" outlineLevel="0" collapsed="false">
      <c r="A193" s="13" t="n">
        <v>169</v>
      </c>
      <c r="B193" s="21" t="n">
        <f aca="false">F192</f>
        <v>369435.179643941</v>
      </c>
      <c r="C193" s="21" t="n">
        <f aca="false">B193*$B$12</f>
        <v>1847.17589821971</v>
      </c>
      <c r="D193" s="21" t="n">
        <f aca="false">MIN($B$15,B193+C193)</f>
        <v>2997.76</v>
      </c>
      <c r="E193" s="21" t="n">
        <f aca="false">D193-C193</f>
        <v>1150.58410178029</v>
      </c>
      <c r="F193" s="21" t="n">
        <f aca="false">B193+C193-D193</f>
        <v>368284.595542161</v>
      </c>
    </row>
    <row r="194" customFormat="false" ht="15" hidden="false" customHeight="false" outlineLevel="0" collapsed="false">
      <c r="A194" s="13" t="n">
        <v>170</v>
      </c>
      <c r="B194" s="21" t="n">
        <f aca="false">F193</f>
        <v>368284.595542161</v>
      </c>
      <c r="C194" s="21" t="n">
        <f aca="false">B194*$B$12</f>
        <v>1841.4229777108</v>
      </c>
      <c r="D194" s="21" t="n">
        <f aca="false">MIN($B$15,B194+C194)</f>
        <v>2997.76</v>
      </c>
      <c r="E194" s="21" t="n">
        <f aca="false">D194-C194</f>
        <v>1156.3370222892</v>
      </c>
      <c r="F194" s="21" t="n">
        <f aca="false">B194+C194-D194</f>
        <v>367128.258519872</v>
      </c>
    </row>
    <row r="195" customFormat="false" ht="15" hidden="false" customHeight="false" outlineLevel="0" collapsed="false">
      <c r="A195" s="13" t="n">
        <v>171</v>
      </c>
      <c r="B195" s="21" t="n">
        <f aca="false">F194</f>
        <v>367128.258519872</v>
      </c>
      <c r="C195" s="21" t="n">
        <f aca="false">B195*$B$12</f>
        <v>1835.64129259936</v>
      </c>
      <c r="D195" s="21" t="n">
        <f aca="false">MIN($B$15,B195+C195)</f>
        <v>2997.76</v>
      </c>
      <c r="E195" s="21" t="n">
        <f aca="false">D195-C195</f>
        <v>1162.11870740064</v>
      </c>
      <c r="F195" s="21" t="n">
        <f aca="false">B195+C195-D195</f>
        <v>365966.139812471</v>
      </c>
    </row>
    <row r="196" customFormat="false" ht="15" hidden="false" customHeight="false" outlineLevel="0" collapsed="false">
      <c r="A196" s="13" t="n">
        <v>172</v>
      </c>
      <c r="B196" s="21" t="n">
        <f aca="false">F195</f>
        <v>365966.139812471</v>
      </c>
      <c r="C196" s="21" t="n">
        <f aca="false">B196*$B$12</f>
        <v>1829.83069906236</v>
      </c>
      <c r="D196" s="21" t="n">
        <f aca="false">MIN($B$15,B196+C196)</f>
        <v>2997.76</v>
      </c>
      <c r="E196" s="21" t="n">
        <f aca="false">D196-C196</f>
        <v>1167.92930093764</v>
      </c>
      <c r="F196" s="21" t="n">
        <f aca="false">B196+C196-D196</f>
        <v>364798.210511534</v>
      </c>
    </row>
    <row r="197" customFormat="false" ht="15" hidden="false" customHeight="false" outlineLevel="0" collapsed="false">
      <c r="A197" s="13" t="n">
        <v>173</v>
      </c>
      <c r="B197" s="21" t="n">
        <f aca="false">F196</f>
        <v>364798.210511534</v>
      </c>
      <c r="C197" s="21" t="n">
        <f aca="false">B197*$B$12</f>
        <v>1823.99105255767</v>
      </c>
      <c r="D197" s="21" t="n">
        <f aca="false">MIN($B$15,B197+C197)</f>
        <v>2997.76</v>
      </c>
      <c r="E197" s="21" t="n">
        <f aca="false">D197-C197</f>
        <v>1173.76894744233</v>
      </c>
      <c r="F197" s="21" t="n">
        <f aca="false">B197+C197-D197</f>
        <v>363624.441564091</v>
      </c>
    </row>
    <row r="198" customFormat="false" ht="15" hidden="false" customHeight="false" outlineLevel="0" collapsed="false">
      <c r="A198" s="13" t="n">
        <v>174</v>
      </c>
      <c r="B198" s="21" t="n">
        <f aca="false">F197</f>
        <v>363624.441564091</v>
      </c>
      <c r="C198" s="21" t="n">
        <f aca="false">B198*$B$12</f>
        <v>1818.12220782046</v>
      </c>
      <c r="D198" s="21" t="n">
        <f aca="false">MIN($B$15,B198+C198)</f>
        <v>2997.76</v>
      </c>
      <c r="E198" s="21" t="n">
        <f aca="false">D198-C198</f>
        <v>1179.63779217954</v>
      </c>
      <c r="F198" s="21" t="n">
        <f aca="false">B198+C198-D198</f>
        <v>362444.803771912</v>
      </c>
    </row>
    <row r="199" customFormat="false" ht="15" hidden="false" customHeight="false" outlineLevel="0" collapsed="false">
      <c r="A199" s="13" t="n">
        <v>175</v>
      </c>
      <c r="B199" s="21" t="n">
        <f aca="false">F198</f>
        <v>362444.803771912</v>
      </c>
      <c r="C199" s="21" t="n">
        <f aca="false">B199*$B$12</f>
        <v>1812.22401885956</v>
      </c>
      <c r="D199" s="21" t="n">
        <f aca="false">MIN($B$15,B199+C199)</f>
        <v>2997.76</v>
      </c>
      <c r="E199" s="21" t="n">
        <f aca="false">D199-C199</f>
        <v>1185.53598114044</v>
      </c>
      <c r="F199" s="21" t="n">
        <f aca="false">B199+C199-D199</f>
        <v>361259.267790771</v>
      </c>
    </row>
    <row r="200" customFormat="false" ht="15" hidden="false" customHeight="false" outlineLevel="0" collapsed="false">
      <c r="A200" s="13" t="n">
        <v>176</v>
      </c>
      <c r="B200" s="21" t="n">
        <f aca="false">F199</f>
        <v>361259.267790771</v>
      </c>
      <c r="C200" s="21" t="n">
        <f aca="false">B200*$B$12</f>
        <v>1806.29633895386</v>
      </c>
      <c r="D200" s="21" t="n">
        <f aca="false">MIN($B$15,B200+C200)</f>
        <v>2997.76</v>
      </c>
      <c r="E200" s="21" t="n">
        <f aca="false">D200-C200</f>
        <v>1191.46366104614</v>
      </c>
      <c r="F200" s="21" t="n">
        <f aca="false">B200+C200-D200</f>
        <v>360067.804129725</v>
      </c>
    </row>
    <row r="201" customFormat="false" ht="15" hidden="false" customHeight="false" outlineLevel="0" collapsed="false">
      <c r="A201" s="13" t="n">
        <v>177</v>
      </c>
      <c r="B201" s="21" t="n">
        <f aca="false">F200</f>
        <v>360067.804129725</v>
      </c>
      <c r="C201" s="21" t="n">
        <f aca="false">B201*$B$12</f>
        <v>1800.33902064863</v>
      </c>
      <c r="D201" s="21" t="n">
        <f aca="false">MIN($B$15,B201+C201)</f>
        <v>2997.76</v>
      </c>
      <c r="E201" s="21" t="n">
        <f aca="false">D201-C201</f>
        <v>1197.42097935138</v>
      </c>
      <c r="F201" s="21" t="n">
        <f aca="false">B201+C201-D201</f>
        <v>358870.383150374</v>
      </c>
    </row>
    <row r="202" customFormat="false" ht="15" hidden="false" customHeight="false" outlineLevel="0" collapsed="false">
      <c r="A202" s="13" t="n">
        <v>178</v>
      </c>
      <c r="B202" s="21" t="n">
        <f aca="false">F201</f>
        <v>358870.383150374</v>
      </c>
      <c r="C202" s="21" t="n">
        <f aca="false">B202*$B$12</f>
        <v>1794.35191575187</v>
      </c>
      <c r="D202" s="21" t="n">
        <f aca="false">MIN($B$15,B202+C202)</f>
        <v>2997.76</v>
      </c>
      <c r="E202" s="21" t="n">
        <f aca="false">D202-C202</f>
        <v>1203.40808424813</v>
      </c>
      <c r="F202" s="21" t="n">
        <f aca="false">B202+C202-D202</f>
        <v>357666.975066125</v>
      </c>
    </row>
    <row r="203" customFormat="false" ht="15" hidden="false" customHeight="false" outlineLevel="0" collapsed="false">
      <c r="A203" s="13" t="n">
        <v>179</v>
      </c>
      <c r="B203" s="21" t="n">
        <f aca="false">F202</f>
        <v>357666.975066125</v>
      </c>
      <c r="C203" s="21" t="n">
        <f aca="false">B203*$B$12</f>
        <v>1788.33487533063</v>
      </c>
      <c r="D203" s="21" t="n">
        <f aca="false">MIN($B$15,B203+C203)</f>
        <v>2997.76</v>
      </c>
      <c r="E203" s="21" t="n">
        <f aca="false">D203-C203</f>
        <v>1209.42512466937</v>
      </c>
      <c r="F203" s="21" t="n">
        <f aca="false">B203+C203-D203</f>
        <v>356457.549941456</v>
      </c>
    </row>
    <row r="204" customFormat="false" ht="15" hidden="false" customHeight="false" outlineLevel="0" collapsed="false">
      <c r="A204" s="13" t="n">
        <v>180</v>
      </c>
      <c r="B204" s="21" t="n">
        <f aca="false">F203</f>
        <v>356457.549941456</v>
      </c>
      <c r="C204" s="21" t="n">
        <f aca="false">B204*$B$12</f>
        <v>1782.28774970728</v>
      </c>
      <c r="D204" s="21" t="n">
        <f aca="false">MIN($B$15,B204+C204)</f>
        <v>2997.76</v>
      </c>
      <c r="E204" s="21" t="n">
        <f aca="false">D204-C204</f>
        <v>1215.47225029272</v>
      </c>
      <c r="F204" s="21" t="n">
        <f aca="false">B204+C204-D204</f>
        <v>355242.077691163</v>
      </c>
    </row>
    <row r="205" customFormat="false" ht="15" hidden="false" customHeight="false" outlineLevel="0" collapsed="false">
      <c r="A205" s="13" t="n">
        <v>181</v>
      </c>
      <c r="B205" s="21" t="n">
        <f aca="false">F204</f>
        <v>355242.077691163</v>
      </c>
      <c r="C205" s="21" t="n">
        <f aca="false">B205*$B$12</f>
        <v>1776.21038845582</v>
      </c>
      <c r="D205" s="21" t="n">
        <f aca="false">MIN($B$15,B205+C205)</f>
        <v>2997.76</v>
      </c>
      <c r="E205" s="21" t="n">
        <f aca="false">D205-C205</f>
        <v>1221.54961154418</v>
      </c>
      <c r="F205" s="21" t="n">
        <f aca="false">B205+C205-D205</f>
        <v>354020.528079619</v>
      </c>
    </row>
    <row r="206" customFormat="false" ht="15" hidden="false" customHeight="false" outlineLevel="0" collapsed="false">
      <c r="A206" s="13" t="n">
        <v>182</v>
      </c>
      <c r="B206" s="21" t="n">
        <f aca="false">F205</f>
        <v>354020.528079619</v>
      </c>
      <c r="C206" s="21" t="n">
        <f aca="false">B206*$B$12</f>
        <v>1770.1026403981</v>
      </c>
      <c r="D206" s="21" t="n">
        <f aca="false">MIN($B$15,B206+C206)</f>
        <v>2997.76</v>
      </c>
      <c r="E206" s="21" t="n">
        <f aca="false">D206-C206</f>
        <v>1227.6573596019</v>
      </c>
      <c r="F206" s="21" t="n">
        <f aca="false">B206+C206-D206</f>
        <v>352792.870720017</v>
      </c>
    </row>
    <row r="207" customFormat="false" ht="15" hidden="false" customHeight="false" outlineLevel="0" collapsed="false">
      <c r="A207" s="13" t="n">
        <v>183</v>
      </c>
      <c r="B207" s="21" t="n">
        <f aca="false">F206</f>
        <v>352792.870720017</v>
      </c>
      <c r="C207" s="21" t="n">
        <f aca="false">B207*$B$12</f>
        <v>1763.96435360009</v>
      </c>
      <c r="D207" s="21" t="n">
        <f aca="false">MIN($B$15,B207+C207)</f>
        <v>2997.76</v>
      </c>
      <c r="E207" s="21" t="n">
        <f aca="false">D207-C207</f>
        <v>1233.79564639991</v>
      </c>
      <c r="F207" s="21" t="n">
        <f aca="false">B207+C207-D207</f>
        <v>351559.075073617</v>
      </c>
    </row>
    <row r="208" customFormat="false" ht="15" hidden="false" customHeight="false" outlineLevel="0" collapsed="false">
      <c r="A208" s="13" t="n">
        <v>184</v>
      </c>
      <c r="B208" s="21" t="n">
        <f aca="false">F207</f>
        <v>351559.075073617</v>
      </c>
      <c r="C208" s="21" t="n">
        <f aca="false">B208*$B$12</f>
        <v>1757.79537536809</v>
      </c>
      <c r="D208" s="21" t="n">
        <f aca="false">MIN($B$15,B208+C208)</f>
        <v>2997.76</v>
      </c>
      <c r="E208" s="21" t="n">
        <f aca="false">D208-C208</f>
        <v>1239.96462463191</v>
      </c>
      <c r="F208" s="21" t="n">
        <f aca="false">B208+C208-D208</f>
        <v>350319.110448985</v>
      </c>
    </row>
    <row r="209" customFormat="false" ht="15" hidden="false" customHeight="false" outlineLevel="0" collapsed="false">
      <c r="A209" s="13" t="n">
        <v>185</v>
      </c>
      <c r="B209" s="21" t="n">
        <f aca="false">F208</f>
        <v>350319.110448985</v>
      </c>
      <c r="C209" s="21" t="n">
        <f aca="false">B209*$B$12</f>
        <v>1751.59555224493</v>
      </c>
      <c r="D209" s="21" t="n">
        <f aca="false">MIN($B$15,B209+C209)</f>
        <v>2997.76</v>
      </c>
      <c r="E209" s="21" t="n">
        <f aca="false">D209-C209</f>
        <v>1246.16444775507</v>
      </c>
      <c r="F209" s="21" t="n">
        <f aca="false">B209+C209-D209</f>
        <v>349072.94600123</v>
      </c>
    </row>
    <row r="210" customFormat="false" ht="15" hidden="false" customHeight="false" outlineLevel="0" collapsed="false">
      <c r="A210" s="13" t="n">
        <v>186</v>
      </c>
      <c r="B210" s="21" t="n">
        <f aca="false">F209</f>
        <v>349072.94600123</v>
      </c>
      <c r="C210" s="21" t="n">
        <f aca="false">B210*$B$12</f>
        <v>1745.36473000615</v>
      </c>
      <c r="D210" s="21" t="n">
        <f aca="false">MIN($B$15,B210+C210)</f>
        <v>2997.76</v>
      </c>
      <c r="E210" s="21" t="n">
        <f aca="false">D210-C210</f>
        <v>1252.39526999385</v>
      </c>
      <c r="F210" s="21" t="n">
        <f aca="false">B210+C210-D210</f>
        <v>347820.550731236</v>
      </c>
    </row>
    <row r="211" customFormat="false" ht="15" hidden="false" customHeight="false" outlineLevel="0" collapsed="false">
      <c r="A211" s="13" t="n">
        <v>187</v>
      </c>
      <c r="B211" s="21" t="n">
        <f aca="false">F210</f>
        <v>347820.550731236</v>
      </c>
      <c r="C211" s="21" t="n">
        <f aca="false">B211*$B$12</f>
        <v>1739.10275365618</v>
      </c>
      <c r="D211" s="21" t="n">
        <f aca="false">MIN($B$15,B211+C211)</f>
        <v>2997.76</v>
      </c>
      <c r="E211" s="21" t="n">
        <f aca="false">D211-C211</f>
        <v>1258.65724634382</v>
      </c>
      <c r="F211" s="21" t="n">
        <f aca="false">B211+C211-D211</f>
        <v>346561.893484893</v>
      </c>
    </row>
    <row r="212" customFormat="false" ht="15" hidden="false" customHeight="false" outlineLevel="0" collapsed="false">
      <c r="A212" s="13" t="n">
        <v>188</v>
      </c>
      <c r="B212" s="21" t="n">
        <f aca="false">F211</f>
        <v>346561.893484893</v>
      </c>
      <c r="C212" s="21" t="n">
        <f aca="false">B212*$B$12</f>
        <v>1732.80946742446</v>
      </c>
      <c r="D212" s="21" t="n">
        <f aca="false">MIN($B$15,B212+C212)</f>
        <v>2997.76</v>
      </c>
      <c r="E212" s="21" t="n">
        <f aca="false">D212-C212</f>
        <v>1264.95053257554</v>
      </c>
      <c r="F212" s="21" t="n">
        <f aca="false">B212+C212-D212</f>
        <v>345296.942952317</v>
      </c>
    </row>
    <row r="213" customFormat="false" ht="15" hidden="false" customHeight="false" outlineLevel="0" collapsed="false">
      <c r="A213" s="13" t="n">
        <v>189</v>
      </c>
      <c r="B213" s="21" t="n">
        <f aca="false">F212</f>
        <v>345296.942952317</v>
      </c>
      <c r="C213" s="21" t="n">
        <f aca="false">B213*$B$12</f>
        <v>1726.48471476159</v>
      </c>
      <c r="D213" s="21" t="n">
        <f aca="false">MIN($B$15,B213+C213)</f>
        <v>2997.76</v>
      </c>
      <c r="E213" s="21" t="n">
        <f aca="false">D213-C213</f>
        <v>1271.27528523841</v>
      </c>
      <c r="F213" s="21" t="n">
        <f aca="false">B213+C213-D213</f>
        <v>344025.667667079</v>
      </c>
    </row>
    <row r="214" customFormat="false" ht="15" hidden="false" customHeight="false" outlineLevel="0" collapsed="false">
      <c r="A214" s="13" t="n">
        <v>190</v>
      </c>
      <c r="B214" s="21" t="n">
        <f aca="false">F213</f>
        <v>344025.667667079</v>
      </c>
      <c r="C214" s="21" t="n">
        <f aca="false">B214*$B$12</f>
        <v>1720.12833833539</v>
      </c>
      <c r="D214" s="21" t="n">
        <f aca="false">MIN($B$15,B214+C214)</f>
        <v>2997.76</v>
      </c>
      <c r="E214" s="21" t="n">
        <f aca="false">D214-C214</f>
        <v>1277.63166166461</v>
      </c>
      <c r="F214" s="21" t="n">
        <f aca="false">B214+C214-D214</f>
        <v>342748.036005414</v>
      </c>
    </row>
    <row r="215" customFormat="false" ht="15" hidden="false" customHeight="false" outlineLevel="0" collapsed="false">
      <c r="A215" s="13" t="n">
        <v>191</v>
      </c>
      <c r="B215" s="21" t="n">
        <f aca="false">F214</f>
        <v>342748.036005414</v>
      </c>
      <c r="C215" s="21" t="n">
        <f aca="false">B215*$B$12</f>
        <v>1713.74018002707</v>
      </c>
      <c r="D215" s="21" t="n">
        <f aca="false">MIN($B$15,B215+C215)</f>
        <v>2997.76</v>
      </c>
      <c r="E215" s="21" t="n">
        <f aca="false">D215-C215</f>
        <v>1284.01981997293</v>
      </c>
      <c r="F215" s="21" t="n">
        <f aca="false">B215+C215-D215</f>
        <v>341464.016185441</v>
      </c>
    </row>
    <row r="216" customFormat="false" ht="15" hidden="false" customHeight="false" outlineLevel="0" collapsed="false">
      <c r="A216" s="13" t="n">
        <v>192</v>
      </c>
      <c r="B216" s="21" t="n">
        <f aca="false">F215</f>
        <v>341464.016185441</v>
      </c>
      <c r="C216" s="21" t="n">
        <f aca="false">B216*$B$12</f>
        <v>1707.32008092721</v>
      </c>
      <c r="D216" s="21" t="n">
        <f aca="false">MIN($B$15,B216+C216)</f>
        <v>2997.76</v>
      </c>
      <c r="E216" s="21" t="n">
        <f aca="false">D216-C216</f>
        <v>1290.43991907279</v>
      </c>
      <c r="F216" s="21" t="n">
        <f aca="false">B216+C216-D216</f>
        <v>340173.576266368</v>
      </c>
    </row>
    <row r="217" customFormat="false" ht="15" hidden="false" customHeight="false" outlineLevel="0" collapsed="false">
      <c r="A217" s="13" t="n">
        <v>193</v>
      </c>
      <c r="B217" s="21" t="n">
        <f aca="false">F216</f>
        <v>340173.576266368</v>
      </c>
      <c r="C217" s="21" t="n">
        <f aca="false">B217*$B$12</f>
        <v>1700.86788133184</v>
      </c>
      <c r="D217" s="21" t="n">
        <f aca="false">MIN($B$15,B217+C217)</f>
        <v>2997.76</v>
      </c>
      <c r="E217" s="21" t="n">
        <f aca="false">D217-C217</f>
        <v>1296.89211866816</v>
      </c>
      <c r="F217" s="21" t="n">
        <f aca="false">B217+C217-D217</f>
        <v>338876.6841477</v>
      </c>
    </row>
    <row r="218" customFormat="false" ht="15" hidden="false" customHeight="false" outlineLevel="0" collapsed="false">
      <c r="A218" s="13" t="n">
        <v>194</v>
      </c>
      <c r="B218" s="21" t="n">
        <f aca="false">F217</f>
        <v>338876.6841477</v>
      </c>
      <c r="C218" s="21" t="n">
        <f aca="false">B218*$B$12</f>
        <v>1694.3834207385</v>
      </c>
      <c r="D218" s="21" t="n">
        <f aca="false">MIN($B$15,B218+C218)</f>
        <v>2997.76</v>
      </c>
      <c r="E218" s="21" t="n">
        <f aca="false">D218-C218</f>
        <v>1303.3765792615</v>
      </c>
      <c r="F218" s="21" t="n">
        <f aca="false">B218+C218-D218</f>
        <v>337573.307568439</v>
      </c>
    </row>
    <row r="219" customFormat="false" ht="15" hidden="false" customHeight="false" outlineLevel="0" collapsed="false">
      <c r="A219" s="13" t="n">
        <v>195</v>
      </c>
      <c r="B219" s="21" t="n">
        <f aca="false">F218</f>
        <v>337573.307568439</v>
      </c>
      <c r="C219" s="21" t="n">
        <f aca="false">B219*$B$12</f>
        <v>1687.86653784219</v>
      </c>
      <c r="D219" s="21" t="n">
        <f aca="false">MIN($B$15,B219+C219)</f>
        <v>2997.76</v>
      </c>
      <c r="E219" s="21" t="n">
        <f aca="false">D219-C219</f>
        <v>1309.89346215781</v>
      </c>
      <c r="F219" s="21" t="n">
        <f aca="false">B219+C219-D219</f>
        <v>336263.414106281</v>
      </c>
    </row>
    <row r="220" customFormat="false" ht="15" hidden="false" customHeight="false" outlineLevel="0" collapsed="false">
      <c r="A220" s="13" t="n">
        <v>196</v>
      </c>
      <c r="B220" s="21" t="n">
        <f aca="false">F219</f>
        <v>336263.414106281</v>
      </c>
      <c r="C220" s="21" t="n">
        <f aca="false">B220*$B$12</f>
        <v>1681.3170705314</v>
      </c>
      <c r="D220" s="21" t="n">
        <f aca="false">MIN($B$15,B220+C220)</f>
        <v>2997.76</v>
      </c>
      <c r="E220" s="21" t="n">
        <f aca="false">D220-C220</f>
        <v>1316.4429294686</v>
      </c>
      <c r="F220" s="21" t="n">
        <f aca="false">B220+C220-D220</f>
        <v>334946.971176812</v>
      </c>
    </row>
    <row r="221" customFormat="false" ht="15" hidden="false" customHeight="false" outlineLevel="0" collapsed="false">
      <c r="A221" s="13" t="n">
        <v>197</v>
      </c>
      <c r="B221" s="21" t="n">
        <f aca="false">F220</f>
        <v>334946.971176812</v>
      </c>
      <c r="C221" s="21" t="n">
        <f aca="false">B221*$B$12</f>
        <v>1674.73485588406</v>
      </c>
      <c r="D221" s="21" t="n">
        <f aca="false">MIN($B$15,B221+C221)</f>
        <v>2997.76</v>
      </c>
      <c r="E221" s="21" t="n">
        <f aca="false">D221-C221</f>
        <v>1323.02514411594</v>
      </c>
      <c r="F221" s="21" t="n">
        <f aca="false">B221+C221-D221</f>
        <v>333623.946032696</v>
      </c>
    </row>
    <row r="222" customFormat="false" ht="15" hidden="false" customHeight="false" outlineLevel="0" collapsed="false">
      <c r="A222" s="13" t="n">
        <v>198</v>
      </c>
      <c r="B222" s="21" t="n">
        <f aca="false">F221</f>
        <v>333623.946032696</v>
      </c>
      <c r="C222" s="21" t="n">
        <f aca="false">B222*$B$12</f>
        <v>1668.11973016348</v>
      </c>
      <c r="D222" s="21" t="n">
        <f aca="false">MIN($B$15,B222+C222)</f>
        <v>2997.76</v>
      </c>
      <c r="E222" s="21" t="n">
        <f aca="false">D222-C222</f>
        <v>1329.64026983652</v>
      </c>
      <c r="F222" s="21" t="n">
        <f aca="false">B222+C222-D222</f>
        <v>332294.30576286</v>
      </c>
    </row>
    <row r="223" customFormat="false" ht="15" hidden="false" customHeight="false" outlineLevel="0" collapsed="false">
      <c r="A223" s="13" t="n">
        <v>199</v>
      </c>
      <c r="B223" s="21" t="n">
        <f aca="false">F222</f>
        <v>332294.30576286</v>
      </c>
      <c r="C223" s="21" t="n">
        <f aca="false">B223*$B$12</f>
        <v>1661.4715288143</v>
      </c>
      <c r="D223" s="21" t="n">
        <f aca="false">MIN($B$15,B223+C223)</f>
        <v>2997.76</v>
      </c>
      <c r="E223" s="21" t="n">
        <f aca="false">D223-C223</f>
        <v>1336.2884711857</v>
      </c>
      <c r="F223" s="21" t="n">
        <f aca="false">B223+C223-D223</f>
        <v>330958.017291674</v>
      </c>
    </row>
    <row r="224" customFormat="false" ht="15" hidden="false" customHeight="false" outlineLevel="0" collapsed="false">
      <c r="A224" s="13" t="n">
        <v>200</v>
      </c>
      <c r="B224" s="21" t="n">
        <f aca="false">F223</f>
        <v>330958.017291674</v>
      </c>
      <c r="C224" s="21" t="n">
        <f aca="false">B224*$B$12</f>
        <v>1654.79008645837</v>
      </c>
      <c r="D224" s="21" t="n">
        <f aca="false">MIN($B$15,B224+C224)</f>
        <v>2997.76</v>
      </c>
      <c r="E224" s="21" t="n">
        <f aca="false">D224-C224</f>
        <v>1342.96991354163</v>
      </c>
      <c r="F224" s="21" t="n">
        <f aca="false">B224+C224-D224</f>
        <v>329615.047378132</v>
      </c>
    </row>
    <row r="225" customFormat="false" ht="15" hidden="false" customHeight="false" outlineLevel="0" collapsed="false">
      <c r="A225" s="13" t="n">
        <v>201</v>
      </c>
      <c r="B225" s="21" t="n">
        <f aca="false">F224</f>
        <v>329615.047378132</v>
      </c>
      <c r="C225" s="21" t="n">
        <f aca="false">B225*$B$12</f>
        <v>1648.07523689066</v>
      </c>
      <c r="D225" s="21" t="n">
        <f aca="false">MIN($B$15,B225+C225)</f>
        <v>2997.76</v>
      </c>
      <c r="E225" s="21" t="n">
        <f aca="false">D225-C225</f>
        <v>1349.68476310934</v>
      </c>
      <c r="F225" s="21" t="n">
        <f aca="false">B225+C225-D225</f>
        <v>328265.362615023</v>
      </c>
    </row>
    <row r="226" customFormat="false" ht="15" hidden="false" customHeight="false" outlineLevel="0" collapsed="false">
      <c r="A226" s="13" t="n">
        <v>202</v>
      </c>
      <c r="B226" s="21" t="n">
        <f aca="false">F225</f>
        <v>328265.362615023</v>
      </c>
      <c r="C226" s="21" t="n">
        <f aca="false">B226*$B$12</f>
        <v>1641.32681307512</v>
      </c>
      <c r="D226" s="21" t="n">
        <f aca="false">MIN($B$15,B226+C226)</f>
        <v>2997.76</v>
      </c>
      <c r="E226" s="21" t="n">
        <f aca="false">D226-C226</f>
        <v>1356.43318692489</v>
      </c>
      <c r="F226" s="21" t="n">
        <f aca="false">B226+C226-D226</f>
        <v>326908.929428098</v>
      </c>
    </row>
    <row r="227" customFormat="false" ht="15" hidden="false" customHeight="false" outlineLevel="0" collapsed="false">
      <c r="A227" s="13" t="n">
        <v>203</v>
      </c>
      <c r="B227" s="21" t="n">
        <f aca="false">F226</f>
        <v>326908.929428098</v>
      </c>
      <c r="C227" s="21" t="n">
        <f aca="false">B227*$B$12</f>
        <v>1634.54464714049</v>
      </c>
      <c r="D227" s="21" t="n">
        <f aca="false">MIN($B$15,B227+C227)</f>
        <v>2997.76</v>
      </c>
      <c r="E227" s="21" t="n">
        <f aca="false">D227-C227</f>
        <v>1363.21535285951</v>
      </c>
      <c r="F227" s="21" t="n">
        <f aca="false">B227+C227-D227</f>
        <v>325545.714075239</v>
      </c>
    </row>
    <row r="228" customFormat="false" ht="15" hidden="false" customHeight="false" outlineLevel="0" collapsed="false">
      <c r="A228" s="13" t="n">
        <v>204</v>
      </c>
      <c r="B228" s="21" t="n">
        <f aca="false">F227</f>
        <v>325545.714075239</v>
      </c>
      <c r="C228" s="21" t="n">
        <f aca="false">B228*$B$12</f>
        <v>1627.72857037619</v>
      </c>
      <c r="D228" s="21" t="n">
        <f aca="false">MIN($B$15,B228+C228)</f>
        <v>2997.76</v>
      </c>
      <c r="E228" s="21" t="n">
        <f aca="false">D228-C228</f>
        <v>1370.03142962381</v>
      </c>
      <c r="F228" s="21" t="n">
        <f aca="false">B228+C228-D228</f>
        <v>324175.682645615</v>
      </c>
    </row>
    <row r="229" customFormat="false" ht="15" hidden="false" customHeight="false" outlineLevel="0" collapsed="false">
      <c r="A229" s="13" t="n">
        <v>205</v>
      </c>
      <c r="B229" s="21" t="n">
        <f aca="false">F228</f>
        <v>324175.682645615</v>
      </c>
      <c r="C229" s="21" t="n">
        <f aca="false">B229*$B$12</f>
        <v>1620.87841322807</v>
      </c>
      <c r="D229" s="21" t="n">
        <f aca="false">MIN($B$15,B229+C229)</f>
        <v>2997.76</v>
      </c>
      <c r="E229" s="21" t="n">
        <f aca="false">D229-C229</f>
        <v>1376.88158677193</v>
      </c>
      <c r="F229" s="21" t="n">
        <f aca="false">B229+C229-D229</f>
        <v>322798.801058843</v>
      </c>
    </row>
    <row r="230" customFormat="false" ht="15" hidden="false" customHeight="false" outlineLevel="0" collapsed="false">
      <c r="A230" s="13" t="n">
        <v>206</v>
      </c>
      <c r="B230" s="21" t="n">
        <f aca="false">F229</f>
        <v>322798.801058843</v>
      </c>
      <c r="C230" s="21" t="n">
        <f aca="false">B230*$B$12</f>
        <v>1613.99400529421</v>
      </c>
      <c r="D230" s="21" t="n">
        <f aca="false">MIN($B$15,B230+C230)</f>
        <v>2997.76</v>
      </c>
      <c r="E230" s="21" t="n">
        <f aca="false">D230-C230</f>
        <v>1383.76599470579</v>
      </c>
      <c r="F230" s="21" t="n">
        <f aca="false">B230+C230-D230</f>
        <v>321415.035064137</v>
      </c>
    </row>
    <row r="231" customFormat="false" ht="15" hidden="false" customHeight="false" outlineLevel="0" collapsed="false">
      <c r="A231" s="13" t="n">
        <v>207</v>
      </c>
      <c r="B231" s="21" t="n">
        <f aca="false">F230</f>
        <v>321415.035064137</v>
      </c>
      <c r="C231" s="21" t="n">
        <f aca="false">B231*$B$12</f>
        <v>1607.07517532069</v>
      </c>
      <c r="D231" s="21" t="n">
        <f aca="false">MIN($B$15,B231+C231)</f>
        <v>2997.76</v>
      </c>
      <c r="E231" s="21" t="n">
        <f aca="false">D231-C231</f>
        <v>1390.68482467931</v>
      </c>
      <c r="F231" s="21" t="n">
        <f aca="false">B231+C231-D231</f>
        <v>320024.350239458</v>
      </c>
    </row>
    <row r="232" customFormat="false" ht="15" hidden="false" customHeight="false" outlineLevel="0" collapsed="false">
      <c r="A232" s="13" t="n">
        <v>208</v>
      </c>
      <c r="B232" s="21" t="n">
        <f aca="false">F231</f>
        <v>320024.350239458</v>
      </c>
      <c r="C232" s="21" t="n">
        <f aca="false">B232*$B$12</f>
        <v>1600.12175119729</v>
      </c>
      <c r="D232" s="21" t="n">
        <f aca="false">MIN($B$15,B232+C232)</f>
        <v>2997.76</v>
      </c>
      <c r="E232" s="21" t="n">
        <f aca="false">D232-C232</f>
        <v>1397.63824880271</v>
      </c>
      <c r="F232" s="21" t="n">
        <f aca="false">B232+C232-D232</f>
        <v>318626.711990655</v>
      </c>
    </row>
    <row r="233" customFormat="false" ht="15" hidden="false" customHeight="false" outlineLevel="0" collapsed="false">
      <c r="A233" s="13" t="n">
        <v>209</v>
      </c>
      <c r="B233" s="21" t="n">
        <f aca="false">F232</f>
        <v>318626.711990655</v>
      </c>
      <c r="C233" s="21" t="n">
        <f aca="false">B233*$B$12</f>
        <v>1593.13355995328</v>
      </c>
      <c r="D233" s="21" t="n">
        <f aca="false">MIN($B$15,B233+C233)</f>
        <v>2997.76</v>
      </c>
      <c r="E233" s="21" t="n">
        <f aca="false">D233-C233</f>
        <v>1404.62644004673</v>
      </c>
      <c r="F233" s="21" t="n">
        <f aca="false">B233+C233-D233</f>
        <v>317222.085550608</v>
      </c>
    </row>
    <row r="234" customFormat="false" ht="15" hidden="false" customHeight="false" outlineLevel="0" collapsed="false">
      <c r="A234" s="13" t="n">
        <v>210</v>
      </c>
      <c r="B234" s="21" t="n">
        <f aca="false">F233</f>
        <v>317222.085550608</v>
      </c>
      <c r="C234" s="21" t="n">
        <f aca="false">B234*$B$12</f>
        <v>1586.11042775304</v>
      </c>
      <c r="D234" s="21" t="n">
        <f aca="false">MIN($B$15,B234+C234)</f>
        <v>2997.76</v>
      </c>
      <c r="E234" s="21" t="n">
        <f aca="false">D234-C234</f>
        <v>1411.64957224696</v>
      </c>
      <c r="F234" s="21" t="n">
        <f aca="false">B234+C234-D234</f>
        <v>315810.435978361</v>
      </c>
    </row>
    <row r="235" customFormat="false" ht="15" hidden="false" customHeight="false" outlineLevel="0" collapsed="false">
      <c r="A235" s="13" t="n">
        <v>211</v>
      </c>
      <c r="B235" s="21" t="n">
        <f aca="false">F234</f>
        <v>315810.435978361</v>
      </c>
      <c r="C235" s="21" t="n">
        <f aca="false">B235*$B$12</f>
        <v>1579.05217989181</v>
      </c>
      <c r="D235" s="21" t="n">
        <f aca="false">MIN($B$15,B235+C235)</f>
        <v>2997.76</v>
      </c>
      <c r="E235" s="21" t="n">
        <f aca="false">D235-C235</f>
        <v>1418.70782010819</v>
      </c>
      <c r="F235" s="21" t="n">
        <f aca="false">B235+C235-D235</f>
        <v>314391.728158253</v>
      </c>
    </row>
    <row r="236" customFormat="false" ht="15" hidden="false" customHeight="false" outlineLevel="0" collapsed="false">
      <c r="A236" s="13" t="n">
        <v>212</v>
      </c>
      <c r="B236" s="21" t="n">
        <f aca="false">F235</f>
        <v>314391.728158253</v>
      </c>
      <c r="C236" s="21" t="n">
        <f aca="false">B236*$B$12</f>
        <v>1571.95864079127</v>
      </c>
      <c r="D236" s="21" t="n">
        <f aca="false">MIN($B$15,B236+C236)</f>
        <v>2997.76</v>
      </c>
      <c r="E236" s="21" t="n">
        <f aca="false">D236-C236</f>
        <v>1425.80135920873</v>
      </c>
      <c r="F236" s="21" t="n">
        <f aca="false">B236+C236-D236</f>
        <v>312965.926799044</v>
      </c>
    </row>
    <row r="237" customFormat="false" ht="15" hidden="false" customHeight="false" outlineLevel="0" collapsed="false">
      <c r="A237" s="13" t="n">
        <v>213</v>
      </c>
      <c r="B237" s="21" t="n">
        <f aca="false">F236</f>
        <v>312965.926799044</v>
      </c>
      <c r="C237" s="21" t="n">
        <f aca="false">B237*$B$12</f>
        <v>1564.82963399522</v>
      </c>
      <c r="D237" s="21" t="n">
        <f aca="false">MIN($B$15,B237+C237)</f>
        <v>2997.76</v>
      </c>
      <c r="E237" s="21" t="n">
        <f aca="false">D237-C237</f>
        <v>1432.93036600478</v>
      </c>
      <c r="F237" s="21" t="n">
        <f aca="false">B237+C237-D237</f>
        <v>311532.99643304</v>
      </c>
    </row>
    <row r="238" customFormat="false" ht="15" hidden="false" customHeight="false" outlineLevel="0" collapsed="false">
      <c r="A238" s="13" t="n">
        <v>214</v>
      </c>
      <c r="B238" s="21" t="n">
        <f aca="false">F237</f>
        <v>311532.99643304</v>
      </c>
      <c r="C238" s="21" t="n">
        <f aca="false">B238*$B$12</f>
        <v>1557.6649821652</v>
      </c>
      <c r="D238" s="21" t="n">
        <f aca="false">MIN($B$15,B238+C238)</f>
        <v>2997.76</v>
      </c>
      <c r="E238" s="21" t="n">
        <f aca="false">D238-C238</f>
        <v>1440.0950178348</v>
      </c>
      <c r="F238" s="21" t="n">
        <f aca="false">B238+C238-D238</f>
        <v>310092.901415205</v>
      </c>
    </row>
    <row r="239" customFormat="false" ht="15" hidden="false" customHeight="false" outlineLevel="0" collapsed="false">
      <c r="A239" s="13" t="n">
        <v>215</v>
      </c>
      <c r="B239" s="21" t="n">
        <f aca="false">F238</f>
        <v>310092.901415205</v>
      </c>
      <c r="C239" s="21" t="n">
        <f aca="false">B239*$B$12</f>
        <v>1550.46450707602</v>
      </c>
      <c r="D239" s="21" t="n">
        <f aca="false">MIN($B$15,B239+C239)</f>
        <v>2997.76</v>
      </c>
      <c r="E239" s="21" t="n">
        <f aca="false">D239-C239</f>
        <v>1447.29549292398</v>
      </c>
      <c r="F239" s="21" t="n">
        <f aca="false">B239+C239-D239</f>
        <v>308645.605922281</v>
      </c>
    </row>
    <row r="240" customFormat="false" ht="15" hidden="false" customHeight="false" outlineLevel="0" collapsed="false">
      <c r="A240" s="13" t="n">
        <v>216</v>
      </c>
      <c r="B240" s="21" t="n">
        <f aca="false">F239</f>
        <v>308645.605922281</v>
      </c>
      <c r="C240" s="21" t="n">
        <f aca="false">B240*$B$12</f>
        <v>1543.2280296114</v>
      </c>
      <c r="D240" s="21" t="n">
        <f aca="false">MIN($B$15,B240+C240)</f>
        <v>2997.76</v>
      </c>
      <c r="E240" s="21" t="n">
        <f aca="false">D240-C240</f>
        <v>1454.5319703886</v>
      </c>
      <c r="F240" s="21" t="n">
        <f aca="false">B240+C240-D240</f>
        <v>307191.073951892</v>
      </c>
    </row>
    <row r="241" customFormat="false" ht="15" hidden="false" customHeight="false" outlineLevel="0" collapsed="false">
      <c r="A241" s="13" t="n">
        <v>217</v>
      </c>
      <c r="B241" s="21" t="n">
        <f aca="false">F240</f>
        <v>307191.073951892</v>
      </c>
      <c r="C241" s="21" t="n">
        <f aca="false">B241*$B$12</f>
        <v>1535.95536975946</v>
      </c>
      <c r="D241" s="21" t="n">
        <f aca="false">MIN($B$15,B241+C241)</f>
        <v>2997.76</v>
      </c>
      <c r="E241" s="21" t="n">
        <f aca="false">D241-C241</f>
        <v>1461.80463024054</v>
      </c>
      <c r="F241" s="21" t="n">
        <f aca="false">B241+C241-D241</f>
        <v>305729.269321652</v>
      </c>
    </row>
    <row r="242" customFormat="false" ht="15" hidden="false" customHeight="false" outlineLevel="0" collapsed="false">
      <c r="A242" s="13" t="n">
        <v>218</v>
      </c>
      <c r="B242" s="21" t="n">
        <f aca="false">F241</f>
        <v>305729.269321652</v>
      </c>
      <c r="C242" s="21" t="n">
        <f aca="false">B242*$B$12</f>
        <v>1528.64634660826</v>
      </c>
      <c r="D242" s="21" t="n">
        <f aca="false">MIN($B$15,B242+C242)</f>
        <v>2997.76</v>
      </c>
      <c r="E242" s="21" t="n">
        <f aca="false">D242-C242</f>
        <v>1469.11365339174</v>
      </c>
      <c r="F242" s="21" t="n">
        <f aca="false">B242+C242-D242</f>
        <v>304260.15566826</v>
      </c>
    </row>
    <row r="243" customFormat="false" ht="15" hidden="false" customHeight="false" outlineLevel="0" collapsed="false">
      <c r="A243" s="13" t="n">
        <v>219</v>
      </c>
      <c r="B243" s="21" t="n">
        <f aca="false">F242</f>
        <v>304260.15566826</v>
      </c>
      <c r="C243" s="21" t="n">
        <f aca="false">B243*$B$12</f>
        <v>1521.3007783413</v>
      </c>
      <c r="D243" s="21" t="n">
        <f aca="false">MIN($B$15,B243+C243)</f>
        <v>2997.76</v>
      </c>
      <c r="E243" s="21" t="n">
        <f aca="false">D243-C243</f>
        <v>1476.4592216587</v>
      </c>
      <c r="F243" s="21" t="n">
        <f aca="false">B243+C243-D243</f>
        <v>302783.696446601</v>
      </c>
    </row>
    <row r="244" customFormat="false" ht="15" hidden="false" customHeight="false" outlineLevel="0" collapsed="false">
      <c r="A244" s="13" t="n">
        <v>220</v>
      </c>
      <c r="B244" s="21" t="n">
        <f aca="false">F243</f>
        <v>302783.696446601</v>
      </c>
      <c r="C244" s="21" t="n">
        <f aca="false">B244*$B$12</f>
        <v>1513.91848223301</v>
      </c>
      <c r="D244" s="21" t="n">
        <f aca="false">MIN($B$15,B244+C244)</f>
        <v>2997.76</v>
      </c>
      <c r="E244" s="21" t="n">
        <f aca="false">D244-C244</f>
        <v>1483.84151776699</v>
      </c>
      <c r="F244" s="21" t="n">
        <f aca="false">B244+C244-D244</f>
        <v>301299.854928834</v>
      </c>
    </row>
    <row r="245" customFormat="false" ht="15" hidden="false" customHeight="false" outlineLevel="0" collapsed="false">
      <c r="A245" s="13" t="n">
        <v>221</v>
      </c>
      <c r="B245" s="21" t="n">
        <f aca="false">F244</f>
        <v>301299.854928834</v>
      </c>
      <c r="C245" s="21" t="n">
        <f aca="false">B245*$B$12</f>
        <v>1506.49927464417</v>
      </c>
      <c r="D245" s="21" t="n">
        <f aca="false">MIN($B$15,B245+C245)</f>
        <v>2997.76</v>
      </c>
      <c r="E245" s="21" t="n">
        <f aca="false">D245-C245</f>
        <v>1491.26072535583</v>
      </c>
      <c r="F245" s="21" t="n">
        <f aca="false">B245+C245-D245</f>
        <v>299808.594203478</v>
      </c>
    </row>
    <row r="246" customFormat="false" ht="15" hidden="false" customHeight="false" outlineLevel="0" collapsed="false">
      <c r="A246" s="13" t="n">
        <v>222</v>
      </c>
      <c r="B246" s="21" t="n">
        <f aca="false">F245</f>
        <v>299808.594203478</v>
      </c>
      <c r="C246" s="21" t="n">
        <f aca="false">B246*$B$12</f>
        <v>1499.04297101739</v>
      </c>
      <c r="D246" s="21" t="n">
        <f aca="false">MIN($B$15,B246+C246)</f>
        <v>2997.76</v>
      </c>
      <c r="E246" s="21" t="n">
        <f aca="false">D246-C246</f>
        <v>1498.71702898261</v>
      </c>
      <c r="F246" s="21" t="n">
        <f aca="false">B246+C246-D246</f>
        <v>298309.877174496</v>
      </c>
    </row>
    <row r="247" customFormat="false" ht="15" hidden="false" customHeight="false" outlineLevel="0" collapsed="false">
      <c r="A247" s="13" t="n">
        <v>223</v>
      </c>
      <c r="B247" s="21" t="n">
        <f aca="false">F246</f>
        <v>298309.877174496</v>
      </c>
      <c r="C247" s="21" t="n">
        <f aca="false">B247*$B$12</f>
        <v>1491.54938587248</v>
      </c>
      <c r="D247" s="21" t="n">
        <f aca="false">MIN($B$15,B247+C247)</f>
        <v>2997.76</v>
      </c>
      <c r="E247" s="21" t="n">
        <f aca="false">D247-C247</f>
        <v>1506.21061412752</v>
      </c>
      <c r="F247" s="21" t="n">
        <f aca="false">B247+C247-D247</f>
        <v>296803.666560368</v>
      </c>
    </row>
    <row r="248" customFormat="false" ht="15" hidden="false" customHeight="false" outlineLevel="0" collapsed="false">
      <c r="A248" s="13" t="n">
        <v>224</v>
      </c>
      <c r="B248" s="21" t="n">
        <f aca="false">F247</f>
        <v>296803.666560368</v>
      </c>
      <c r="C248" s="21" t="n">
        <f aca="false">B248*$B$12</f>
        <v>1484.01833280184</v>
      </c>
      <c r="D248" s="21" t="n">
        <f aca="false">MIN($B$15,B248+C248)</f>
        <v>2997.76</v>
      </c>
      <c r="E248" s="21" t="n">
        <f aca="false">D248-C248</f>
        <v>1513.74166719816</v>
      </c>
      <c r="F248" s="21" t="n">
        <f aca="false">B248+C248-D248</f>
        <v>295289.92489317</v>
      </c>
    </row>
    <row r="249" customFormat="false" ht="15" hidden="false" customHeight="false" outlineLevel="0" collapsed="false">
      <c r="A249" s="13" t="n">
        <v>225</v>
      </c>
      <c r="B249" s="21" t="n">
        <f aca="false">F248</f>
        <v>295289.92489317</v>
      </c>
      <c r="C249" s="21" t="n">
        <f aca="false">B249*$B$12</f>
        <v>1476.44962446585</v>
      </c>
      <c r="D249" s="21" t="n">
        <f aca="false">MIN($B$15,B249+C249)</f>
        <v>2997.76</v>
      </c>
      <c r="E249" s="21" t="n">
        <f aca="false">D249-C249</f>
        <v>1521.31037553415</v>
      </c>
      <c r="F249" s="21" t="n">
        <f aca="false">B249+C249-D249</f>
        <v>293768.614517636</v>
      </c>
    </row>
    <row r="250" customFormat="false" ht="15" hidden="false" customHeight="false" outlineLevel="0" collapsed="false">
      <c r="A250" s="13" t="n">
        <v>226</v>
      </c>
      <c r="B250" s="21" t="n">
        <f aca="false">F249</f>
        <v>293768.614517636</v>
      </c>
      <c r="C250" s="21" t="n">
        <f aca="false">B250*$B$12</f>
        <v>1468.84307258818</v>
      </c>
      <c r="D250" s="21" t="n">
        <f aca="false">MIN($B$15,B250+C250)</f>
        <v>2997.76</v>
      </c>
      <c r="E250" s="21" t="n">
        <f aca="false">D250-C250</f>
        <v>1528.91692741182</v>
      </c>
      <c r="F250" s="21" t="n">
        <f aca="false">B250+C250-D250</f>
        <v>292239.697590224</v>
      </c>
    </row>
    <row r="251" customFormat="false" ht="15" hidden="false" customHeight="false" outlineLevel="0" collapsed="false">
      <c r="A251" s="13" t="n">
        <v>227</v>
      </c>
      <c r="B251" s="21" t="n">
        <f aca="false">F250</f>
        <v>292239.697590224</v>
      </c>
      <c r="C251" s="21" t="n">
        <f aca="false">B251*$B$12</f>
        <v>1461.19848795112</v>
      </c>
      <c r="D251" s="21" t="n">
        <f aca="false">MIN($B$15,B251+C251)</f>
        <v>2997.76</v>
      </c>
      <c r="E251" s="21" t="n">
        <f aca="false">D251-C251</f>
        <v>1536.56151204888</v>
      </c>
      <c r="F251" s="21" t="n">
        <f aca="false">B251+C251-D251</f>
        <v>290703.136078175</v>
      </c>
    </row>
    <row r="252" customFormat="false" ht="15" hidden="false" customHeight="false" outlineLevel="0" collapsed="false">
      <c r="A252" s="13" t="n">
        <v>228</v>
      </c>
      <c r="B252" s="21" t="n">
        <f aca="false">F251</f>
        <v>290703.136078175</v>
      </c>
      <c r="C252" s="21" t="n">
        <f aca="false">B252*$B$12</f>
        <v>1453.51568039088</v>
      </c>
      <c r="D252" s="21" t="n">
        <f aca="false">MIN($B$15,B252+C252)</f>
        <v>2997.76</v>
      </c>
      <c r="E252" s="21" t="n">
        <f aca="false">D252-C252</f>
        <v>1544.24431960912</v>
      </c>
      <c r="F252" s="21" t="n">
        <f aca="false">B252+C252-D252</f>
        <v>289158.891758566</v>
      </c>
    </row>
    <row r="253" customFormat="false" ht="15" hidden="false" customHeight="false" outlineLevel="0" collapsed="false">
      <c r="A253" s="13" t="n">
        <v>229</v>
      </c>
      <c r="B253" s="21" t="n">
        <f aca="false">F252</f>
        <v>289158.891758566</v>
      </c>
      <c r="C253" s="21" t="n">
        <f aca="false">B253*$B$12</f>
        <v>1445.79445879283</v>
      </c>
      <c r="D253" s="21" t="n">
        <f aca="false">MIN($B$15,B253+C253)</f>
        <v>2997.76</v>
      </c>
      <c r="E253" s="21" t="n">
        <f aca="false">D253-C253</f>
        <v>1551.96554120717</v>
      </c>
      <c r="F253" s="21" t="n">
        <f aca="false">B253+C253-D253</f>
        <v>287606.926217359</v>
      </c>
    </row>
    <row r="254" customFormat="false" ht="15" hidden="false" customHeight="false" outlineLevel="0" collapsed="false">
      <c r="A254" s="13" t="n">
        <v>230</v>
      </c>
      <c r="B254" s="21" t="n">
        <f aca="false">F253</f>
        <v>287606.926217359</v>
      </c>
      <c r="C254" s="21" t="n">
        <f aca="false">B254*$B$12</f>
        <v>1438.03463108679</v>
      </c>
      <c r="D254" s="21" t="n">
        <f aca="false">MIN($B$15,B254+C254)</f>
        <v>2997.76</v>
      </c>
      <c r="E254" s="21" t="n">
        <f aca="false">D254-C254</f>
        <v>1559.72536891321</v>
      </c>
      <c r="F254" s="21" t="n">
        <f aca="false">B254+C254-D254</f>
        <v>286047.200848446</v>
      </c>
    </row>
    <row r="255" customFormat="false" ht="15" hidden="false" customHeight="false" outlineLevel="0" collapsed="false">
      <c r="A255" s="13" t="n">
        <v>231</v>
      </c>
      <c r="B255" s="21" t="n">
        <f aca="false">F254</f>
        <v>286047.200848446</v>
      </c>
      <c r="C255" s="21" t="n">
        <f aca="false">B255*$B$12</f>
        <v>1430.23600424223</v>
      </c>
      <c r="D255" s="21" t="n">
        <f aca="false">MIN($B$15,B255+C255)</f>
        <v>2997.76</v>
      </c>
      <c r="E255" s="21" t="n">
        <f aca="false">D255-C255</f>
        <v>1567.52399575777</v>
      </c>
      <c r="F255" s="21" t="n">
        <f aca="false">B255+C255-D255</f>
        <v>284479.676852688</v>
      </c>
    </row>
    <row r="256" customFormat="false" ht="15" hidden="false" customHeight="false" outlineLevel="0" collapsed="false">
      <c r="A256" s="13" t="n">
        <v>232</v>
      </c>
      <c r="B256" s="21" t="n">
        <f aca="false">F255</f>
        <v>284479.676852688</v>
      </c>
      <c r="C256" s="21" t="n">
        <f aca="false">B256*$B$12</f>
        <v>1422.39838426344</v>
      </c>
      <c r="D256" s="21" t="n">
        <f aca="false">MIN($B$15,B256+C256)</f>
        <v>2997.76</v>
      </c>
      <c r="E256" s="21" t="n">
        <f aca="false">D256-C256</f>
        <v>1575.36161573656</v>
      </c>
      <c r="F256" s="21" t="n">
        <f aca="false">B256+C256-D256</f>
        <v>282904.315236951</v>
      </c>
    </row>
    <row r="257" customFormat="false" ht="15" hidden="false" customHeight="false" outlineLevel="0" collapsed="false">
      <c r="A257" s="13" t="n">
        <v>233</v>
      </c>
      <c r="B257" s="21" t="n">
        <f aca="false">F256</f>
        <v>282904.315236951</v>
      </c>
      <c r="C257" s="21" t="n">
        <f aca="false">B257*$B$12</f>
        <v>1414.52157618476</v>
      </c>
      <c r="D257" s="21" t="n">
        <f aca="false">MIN($B$15,B257+C257)</f>
        <v>2997.76</v>
      </c>
      <c r="E257" s="21" t="n">
        <f aca="false">D257-C257</f>
        <v>1583.23842381524</v>
      </c>
      <c r="F257" s="21" t="n">
        <f aca="false">B257+C257-D257</f>
        <v>281321.076813136</v>
      </c>
    </row>
    <row r="258" customFormat="false" ht="15" hidden="false" customHeight="false" outlineLevel="0" collapsed="false">
      <c r="A258" s="13" t="n">
        <v>234</v>
      </c>
      <c r="B258" s="21" t="n">
        <f aca="false">F257</f>
        <v>281321.076813136</v>
      </c>
      <c r="C258" s="21" t="n">
        <f aca="false">B258*$B$12</f>
        <v>1406.60538406568</v>
      </c>
      <c r="D258" s="21" t="n">
        <f aca="false">MIN($B$15,B258+C258)</f>
        <v>2997.76</v>
      </c>
      <c r="E258" s="21" t="n">
        <f aca="false">D258-C258</f>
        <v>1591.15461593432</v>
      </c>
      <c r="F258" s="21" t="n">
        <f aca="false">B258+C258-D258</f>
        <v>279729.922197202</v>
      </c>
    </row>
    <row r="259" customFormat="false" ht="15" hidden="false" customHeight="false" outlineLevel="0" collapsed="false">
      <c r="A259" s="13" t="n">
        <v>235</v>
      </c>
      <c r="B259" s="21" t="n">
        <f aca="false">F258</f>
        <v>279729.922197202</v>
      </c>
      <c r="C259" s="21" t="n">
        <f aca="false">B259*$B$12</f>
        <v>1398.64961098601</v>
      </c>
      <c r="D259" s="21" t="n">
        <f aca="false">MIN($B$15,B259+C259)</f>
        <v>2997.76</v>
      </c>
      <c r="E259" s="21" t="n">
        <f aca="false">D259-C259</f>
        <v>1599.11038901399</v>
      </c>
      <c r="F259" s="21" t="n">
        <f aca="false">B259+C259-D259</f>
        <v>278130.811808188</v>
      </c>
    </row>
    <row r="260" customFormat="false" ht="15" hidden="false" customHeight="false" outlineLevel="0" collapsed="false">
      <c r="A260" s="13" t="n">
        <v>236</v>
      </c>
      <c r="B260" s="21" t="n">
        <f aca="false">F259</f>
        <v>278130.811808188</v>
      </c>
      <c r="C260" s="21" t="n">
        <f aca="false">B260*$B$12</f>
        <v>1390.65405904094</v>
      </c>
      <c r="D260" s="21" t="n">
        <f aca="false">MIN($B$15,B260+C260)</f>
        <v>2997.76</v>
      </c>
      <c r="E260" s="21" t="n">
        <f aca="false">D260-C260</f>
        <v>1607.10594095906</v>
      </c>
      <c r="F260" s="21" t="n">
        <f aca="false">B260+C260-D260</f>
        <v>276523.705867229</v>
      </c>
    </row>
    <row r="261" customFormat="false" ht="15" hidden="false" customHeight="false" outlineLevel="0" collapsed="false">
      <c r="A261" s="13" t="n">
        <v>237</v>
      </c>
      <c r="B261" s="21" t="n">
        <f aca="false">F260</f>
        <v>276523.705867229</v>
      </c>
      <c r="C261" s="21" t="n">
        <f aca="false">B261*$B$12</f>
        <v>1382.61852933614</v>
      </c>
      <c r="D261" s="21" t="n">
        <f aca="false">MIN($B$15,B261+C261)</f>
        <v>2997.76</v>
      </c>
      <c r="E261" s="21" t="n">
        <f aca="false">D261-C261</f>
        <v>1615.14147066386</v>
      </c>
      <c r="F261" s="21" t="n">
        <f aca="false">B261+C261-D261</f>
        <v>274908.564396565</v>
      </c>
    </row>
    <row r="262" customFormat="false" ht="15" hidden="false" customHeight="false" outlineLevel="0" collapsed="false">
      <c r="A262" s="13" t="n">
        <v>238</v>
      </c>
      <c r="B262" s="21" t="n">
        <f aca="false">F261</f>
        <v>274908.564396565</v>
      </c>
      <c r="C262" s="21" t="n">
        <f aca="false">B262*$B$12</f>
        <v>1374.54282198282</v>
      </c>
      <c r="D262" s="21" t="n">
        <f aca="false">MIN($B$15,B262+C262)</f>
        <v>2997.76</v>
      </c>
      <c r="E262" s="21" t="n">
        <f aca="false">D262-C262</f>
        <v>1623.21717801718</v>
      </c>
      <c r="F262" s="21" t="n">
        <f aca="false">B262+C262-D262</f>
        <v>273285.347218548</v>
      </c>
    </row>
    <row r="263" customFormat="false" ht="15" hidden="false" customHeight="false" outlineLevel="0" collapsed="false">
      <c r="A263" s="13" t="n">
        <v>239</v>
      </c>
      <c r="B263" s="21" t="n">
        <f aca="false">F262</f>
        <v>273285.347218548</v>
      </c>
      <c r="C263" s="21" t="n">
        <f aca="false">B263*$B$12</f>
        <v>1366.42673609274</v>
      </c>
      <c r="D263" s="21" t="n">
        <f aca="false">MIN($B$15,B263+C263)</f>
        <v>2997.76</v>
      </c>
      <c r="E263" s="21" t="n">
        <f aca="false">D263-C263</f>
        <v>1631.33326390726</v>
      </c>
      <c r="F263" s="21" t="n">
        <f aca="false">B263+C263-D263</f>
        <v>271654.01395464</v>
      </c>
    </row>
    <row r="264" customFormat="false" ht="15" hidden="false" customHeight="false" outlineLevel="0" collapsed="false">
      <c r="A264" s="13" t="n">
        <v>240</v>
      </c>
      <c r="B264" s="21" t="n">
        <f aca="false">F263</f>
        <v>271654.01395464</v>
      </c>
      <c r="C264" s="21" t="n">
        <f aca="false">B264*$B$12</f>
        <v>1358.2700697732</v>
      </c>
      <c r="D264" s="21" t="n">
        <f aca="false">MIN($B$15,B264+C264)</f>
        <v>2997.76</v>
      </c>
      <c r="E264" s="21" t="n">
        <f aca="false">D264-C264</f>
        <v>1639.4899302268</v>
      </c>
      <c r="F264" s="21" t="n">
        <f aca="false">B264+C264-D264</f>
        <v>270014.524024413</v>
      </c>
    </row>
    <row r="265" customFormat="false" ht="15" hidden="false" customHeight="false" outlineLevel="0" collapsed="false">
      <c r="A265" s="13" t="n">
        <v>241</v>
      </c>
      <c r="B265" s="21" t="n">
        <f aca="false">F264</f>
        <v>270014.524024413</v>
      </c>
      <c r="C265" s="21" t="n">
        <f aca="false">B265*$B$12</f>
        <v>1350.07262012207</v>
      </c>
      <c r="D265" s="21" t="n">
        <f aca="false">MIN($B$15,B265+C265)</f>
        <v>2997.76</v>
      </c>
      <c r="E265" s="21" t="n">
        <f aca="false">D265-C265</f>
        <v>1647.68737987793</v>
      </c>
      <c r="F265" s="21" t="n">
        <f aca="false">B265+C265-D265</f>
        <v>268366.836644535</v>
      </c>
    </row>
    <row r="266" customFormat="false" ht="15" hidden="false" customHeight="false" outlineLevel="0" collapsed="false">
      <c r="A266" s="13" t="n">
        <v>242</v>
      </c>
      <c r="B266" s="21" t="n">
        <f aca="false">F265</f>
        <v>268366.836644535</v>
      </c>
      <c r="C266" s="21" t="n">
        <f aca="false">B266*$B$12</f>
        <v>1341.83418322268</v>
      </c>
      <c r="D266" s="21" t="n">
        <f aca="false">MIN($B$15,B266+C266)</f>
        <v>2997.76</v>
      </c>
      <c r="E266" s="21" t="n">
        <f aca="false">D266-C266</f>
        <v>1655.92581677732</v>
      </c>
      <c r="F266" s="21" t="n">
        <f aca="false">B266+C266-D266</f>
        <v>266710.910827758</v>
      </c>
    </row>
    <row r="267" customFormat="false" ht="15" hidden="false" customHeight="false" outlineLevel="0" collapsed="false">
      <c r="A267" s="13" t="n">
        <v>243</v>
      </c>
      <c r="B267" s="21" t="n">
        <f aca="false">F266</f>
        <v>266710.910827758</v>
      </c>
      <c r="C267" s="21" t="n">
        <f aca="false">B267*$B$12</f>
        <v>1333.55455413879</v>
      </c>
      <c r="D267" s="21" t="n">
        <f aca="false">MIN($B$15,B267+C267)</f>
        <v>2997.76</v>
      </c>
      <c r="E267" s="21" t="n">
        <f aca="false">D267-C267</f>
        <v>1664.20544586121</v>
      </c>
      <c r="F267" s="21" t="n">
        <f aca="false">B267+C267-D267</f>
        <v>265046.705381897</v>
      </c>
    </row>
    <row r="268" customFormat="false" ht="15" hidden="false" customHeight="false" outlineLevel="0" collapsed="false">
      <c r="A268" s="13" t="n">
        <v>244</v>
      </c>
      <c r="B268" s="21" t="n">
        <f aca="false">F267</f>
        <v>265046.705381897</v>
      </c>
      <c r="C268" s="21" t="n">
        <f aca="false">B268*$B$12</f>
        <v>1325.23352690948</v>
      </c>
      <c r="D268" s="21" t="n">
        <f aca="false">MIN($B$15,B268+C268)</f>
        <v>2997.76</v>
      </c>
      <c r="E268" s="21" t="n">
        <f aca="false">D268-C268</f>
        <v>1672.52647309052</v>
      </c>
      <c r="F268" s="21" t="n">
        <f aca="false">B268+C268-D268</f>
        <v>263374.178908806</v>
      </c>
    </row>
    <row r="269" customFormat="false" ht="15" hidden="false" customHeight="false" outlineLevel="0" collapsed="false">
      <c r="A269" s="13" t="n">
        <v>245</v>
      </c>
      <c r="B269" s="21" t="n">
        <f aca="false">F268</f>
        <v>263374.178908806</v>
      </c>
      <c r="C269" s="21" t="n">
        <f aca="false">B269*$B$12</f>
        <v>1316.87089454403</v>
      </c>
      <c r="D269" s="21" t="n">
        <f aca="false">MIN($B$15,B269+C269)</f>
        <v>2997.76</v>
      </c>
      <c r="E269" s="21" t="n">
        <f aca="false">D269-C269</f>
        <v>1680.88910545597</v>
      </c>
      <c r="F269" s="21" t="n">
        <f aca="false">B269+C269-D269</f>
        <v>261693.28980335</v>
      </c>
    </row>
    <row r="270" customFormat="false" ht="15" hidden="false" customHeight="false" outlineLevel="0" collapsed="false">
      <c r="A270" s="13" t="n">
        <v>246</v>
      </c>
      <c r="B270" s="21" t="n">
        <f aca="false">F269</f>
        <v>261693.28980335</v>
      </c>
      <c r="C270" s="21" t="n">
        <f aca="false">B270*$B$12</f>
        <v>1308.46644901675</v>
      </c>
      <c r="D270" s="21" t="n">
        <f aca="false">MIN($B$15,B270+C270)</f>
        <v>2997.76</v>
      </c>
      <c r="E270" s="21" t="n">
        <f aca="false">D270-C270</f>
        <v>1689.29355098325</v>
      </c>
      <c r="F270" s="21" t="n">
        <f aca="false">B270+C270-D270</f>
        <v>260003.996252367</v>
      </c>
    </row>
    <row r="271" customFormat="false" ht="15" hidden="false" customHeight="false" outlineLevel="0" collapsed="false">
      <c r="A271" s="13" t="n">
        <v>247</v>
      </c>
      <c r="B271" s="21" t="n">
        <f aca="false">F270</f>
        <v>260003.996252367</v>
      </c>
      <c r="C271" s="21" t="n">
        <f aca="false">B271*$B$12</f>
        <v>1300.01998126184</v>
      </c>
      <c r="D271" s="21" t="n">
        <f aca="false">MIN($B$15,B271+C271)</f>
        <v>2997.76</v>
      </c>
      <c r="E271" s="21" t="n">
        <f aca="false">D271-C271</f>
        <v>1697.74001873816</v>
      </c>
      <c r="F271" s="21" t="n">
        <f aca="false">B271+C271-D271</f>
        <v>258306.256233629</v>
      </c>
    </row>
    <row r="272" customFormat="false" ht="15" hidden="false" customHeight="false" outlineLevel="0" collapsed="false">
      <c r="A272" s="13" t="n">
        <v>248</v>
      </c>
      <c r="B272" s="21" t="n">
        <f aca="false">F271</f>
        <v>258306.256233629</v>
      </c>
      <c r="C272" s="21" t="n">
        <f aca="false">B272*$B$12</f>
        <v>1291.53128116815</v>
      </c>
      <c r="D272" s="21" t="n">
        <f aca="false">MIN($B$15,B272+C272)</f>
        <v>2997.76</v>
      </c>
      <c r="E272" s="21" t="n">
        <f aca="false">D272-C272</f>
        <v>1706.22871883186</v>
      </c>
      <c r="F272" s="21" t="n">
        <f aca="false">B272+C272-D272</f>
        <v>256600.027514797</v>
      </c>
    </row>
    <row r="273" customFormat="false" ht="15" hidden="false" customHeight="false" outlineLevel="0" collapsed="false">
      <c r="A273" s="13" t="n">
        <v>249</v>
      </c>
      <c r="B273" s="21" t="n">
        <f aca="false">F272</f>
        <v>256600.027514797</v>
      </c>
      <c r="C273" s="21" t="n">
        <f aca="false">B273*$B$12</f>
        <v>1283.00013757399</v>
      </c>
      <c r="D273" s="21" t="n">
        <f aca="false">MIN($B$15,B273+C273)</f>
        <v>2997.76</v>
      </c>
      <c r="E273" s="21" t="n">
        <f aca="false">D273-C273</f>
        <v>1714.75986242601</v>
      </c>
      <c r="F273" s="21" t="n">
        <f aca="false">B273+C273-D273</f>
        <v>254885.267652371</v>
      </c>
    </row>
    <row r="274" customFormat="false" ht="15" hidden="false" customHeight="false" outlineLevel="0" collapsed="false">
      <c r="A274" s="13" t="n">
        <v>250</v>
      </c>
      <c r="B274" s="21" t="n">
        <f aca="false">F273</f>
        <v>254885.267652371</v>
      </c>
      <c r="C274" s="21" t="n">
        <f aca="false">B274*$B$12</f>
        <v>1274.42633826186</v>
      </c>
      <c r="D274" s="21" t="n">
        <f aca="false">MIN($B$15,B274+C274)</f>
        <v>2997.76</v>
      </c>
      <c r="E274" s="21" t="n">
        <f aca="false">D274-C274</f>
        <v>1723.33366173814</v>
      </c>
      <c r="F274" s="21" t="n">
        <f aca="false">B274+C274-D274</f>
        <v>253161.933990633</v>
      </c>
    </row>
    <row r="275" customFormat="false" ht="15" hidden="false" customHeight="false" outlineLevel="0" collapsed="false">
      <c r="A275" s="13" t="n">
        <v>251</v>
      </c>
      <c r="B275" s="21" t="n">
        <f aca="false">F274</f>
        <v>253161.933990633</v>
      </c>
      <c r="C275" s="21" t="n">
        <f aca="false">B275*$B$12</f>
        <v>1265.80966995316</v>
      </c>
      <c r="D275" s="21" t="n">
        <f aca="false">MIN($B$15,B275+C275)</f>
        <v>2997.76</v>
      </c>
      <c r="E275" s="21" t="n">
        <f aca="false">D275-C275</f>
        <v>1731.95033004684</v>
      </c>
      <c r="F275" s="21" t="n">
        <f aca="false">B275+C275-D275</f>
        <v>251429.983660586</v>
      </c>
    </row>
    <row r="276" customFormat="false" ht="15" hidden="false" customHeight="false" outlineLevel="0" collapsed="false">
      <c r="A276" s="13" t="n">
        <v>252</v>
      </c>
      <c r="B276" s="21" t="n">
        <f aca="false">F275</f>
        <v>251429.983660586</v>
      </c>
      <c r="C276" s="21" t="n">
        <f aca="false">B276*$B$12</f>
        <v>1257.14991830293</v>
      </c>
      <c r="D276" s="21" t="n">
        <f aca="false">MIN($B$15,B276+C276)</f>
        <v>2997.76</v>
      </c>
      <c r="E276" s="21" t="n">
        <f aca="false">D276-C276</f>
        <v>1740.61008169707</v>
      </c>
      <c r="F276" s="21" t="n">
        <f aca="false">B276+C276-D276</f>
        <v>249689.373578889</v>
      </c>
    </row>
    <row r="277" customFormat="false" ht="15" hidden="false" customHeight="false" outlineLevel="0" collapsed="false">
      <c r="A277" s="13" t="n">
        <v>253</v>
      </c>
      <c r="B277" s="21" t="n">
        <f aca="false">F276</f>
        <v>249689.373578889</v>
      </c>
      <c r="C277" s="21" t="n">
        <f aca="false">B277*$B$12</f>
        <v>1248.44686789445</v>
      </c>
      <c r="D277" s="21" t="n">
        <f aca="false">MIN($B$15,B277+C277)</f>
        <v>2997.76</v>
      </c>
      <c r="E277" s="21" t="n">
        <f aca="false">D277-C277</f>
        <v>1749.31313210556</v>
      </c>
      <c r="F277" s="21" t="n">
        <f aca="false">B277+C277-D277</f>
        <v>247940.060446783</v>
      </c>
    </row>
    <row r="278" customFormat="false" ht="15" hidden="false" customHeight="false" outlineLevel="0" collapsed="false">
      <c r="A278" s="13" t="n">
        <v>254</v>
      </c>
      <c r="B278" s="21" t="n">
        <f aca="false">F277</f>
        <v>247940.060446783</v>
      </c>
      <c r="C278" s="21" t="n">
        <f aca="false">B278*$B$12</f>
        <v>1239.70030223392</v>
      </c>
      <c r="D278" s="21" t="n">
        <f aca="false">MIN($B$15,B278+C278)</f>
        <v>2997.76</v>
      </c>
      <c r="E278" s="21" t="n">
        <f aca="false">D278-C278</f>
        <v>1758.05969776608</v>
      </c>
      <c r="F278" s="21" t="n">
        <f aca="false">B278+C278-D278</f>
        <v>246182.000749017</v>
      </c>
    </row>
    <row r="279" customFormat="false" ht="15" hidden="false" customHeight="false" outlineLevel="0" collapsed="false">
      <c r="A279" s="13" t="n">
        <v>255</v>
      </c>
      <c r="B279" s="21" t="n">
        <f aca="false">F278</f>
        <v>246182.000749017</v>
      </c>
      <c r="C279" s="21" t="n">
        <f aca="false">B279*$B$12</f>
        <v>1230.91000374509</v>
      </c>
      <c r="D279" s="21" t="n">
        <f aca="false">MIN($B$15,B279+C279)</f>
        <v>2997.76</v>
      </c>
      <c r="E279" s="21" t="n">
        <f aca="false">D279-C279</f>
        <v>1766.84999625491</v>
      </c>
      <c r="F279" s="21" t="n">
        <f aca="false">B279+C279-D279</f>
        <v>244415.150752762</v>
      </c>
    </row>
    <row r="280" customFormat="false" ht="15" hidden="false" customHeight="false" outlineLevel="0" collapsed="false">
      <c r="A280" s="13" t="n">
        <v>256</v>
      </c>
      <c r="B280" s="21" t="n">
        <f aca="false">F279</f>
        <v>244415.150752762</v>
      </c>
      <c r="C280" s="21" t="n">
        <f aca="false">B280*$B$12</f>
        <v>1222.07575376381</v>
      </c>
      <c r="D280" s="21" t="n">
        <f aca="false">MIN($B$15,B280+C280)</f>
        <v>2997.76</v>
      </c>
      <c r="E280" s="21" t="n">
        <f aca="false">D280-C280</f>
        <v>1775.68424623619</v>
      </c>
      <c r="F280" s="21" t="n">
        <f aca="false">B280+C280-D280</f>
        <v>242639.466506526</v>
      </c>
    </row>
    <row r="281" customFormat="false" ht="15" hidden="false" customHeight="false" outlineLevel="0" collapsed="false">
      <c r="A281" s="13" t="n">
        <v>257</v>
      </c>
      <c r="B281" s="21" t="n">
        <f aca="false">F280</f>
        <v>242639.466506526</v>
      </c>
      <c r="C281" s="21" t="n">
        <f aca="false">B281*$B$12</f>
        <v>1213.19733253263</v>
      </c>
      <c r="D281" s="21" t="n">
        <f aca="false">MIN($B$15,B281+C281)</f>
        <v>2997.76</v>
      </c>
      <c r="E281" s="21" t="n">
        <f aca="false">D281-C281</f>
        <v>1784.56266746737</v>
      </c>
      <c r="F281" s="21" t="n">
        <f aca="false">B281+C281-D281</f>
        <v>240854.903839059</v>
      </c>
    </row>
    <row r="282" customFormat="false" ht="15" hidden="false" customHeight="false" outlineLevel="0" collapsed="false">
      <c r="A282" s="13" t="n">
        <v>258</v>
      </c>
      <c r="B282" s="21" t="n">
        <f aca="false">F281</f>
        <v>240854.903839059</v>
      </c>
      <c r="C282" s="21" t="n">
        <f aca="false">B282*$B$12</f>
        <v>1204.27451919529</v>
      </c>
      <c r="D282" s="21" t="n">
        <f aca="false">MIN($B$15,B282+C282)</f>
        <v>2997.76</v>
      </c>
      <c r="E282" s="21" t="n">
        <f aca="false">D282-C282</f>
        <v>1793.48548080471</v>
      </c>
      <c r="F282" s="21" t="n">
        <f aca="false">B282+C282-D282</f>
        <v>239061.418358254</v>
      </c>
    </row>
    <row r="283" customFormat="false" ht="15" hidden="false" customHeight="false" outlineLevel="0" collapsed="false">
      <c r="A283" s="13" t="n">
        <v>259</v>
      </c>
      <c r="B283" s="21" t="n">
        <f aca="false">F282</f>
        <v>239061.418358254</v>
      </c>
      <c r="C283" s="21" t="n">
        <f aca="false">B283*$B$12</f>
        <v>1195.30709179127</v>
      </c>
      <c r="D283" s="21" t="n">
        <f aca="false">MIN($B$15,B283+C283)</f>
        <v>2997.76</v>
      </c>
      <c r="E283" s="21" t="n">
        <f aca="false">D283-C283</f>
        <v>1802.45290820873</v>
      </c>
      <c r="F283" s="21" t="n">
        <f aca="false">B283+C283-D283</f>
        <v>237258.965450045</v>
      </c>
    </row>
    <row r="284" customFormat="false" ht="15" hidden="false" customHeight="false" outlineLevel="0" collapsed="false">
      <c r="A284" s="13" t="n">
        <v>260</v>
      </c>
      <c r="B284" s="21" t="n">
        <f aca="false">F283</f>
        <v>237258.965450045</v>
      </c>
      <c r="C284" s="21" t="n">
        <f aca="false">B284*$B$12</f>
        <v>1186.29482725023</v>
      </c>
      <c r="D284" s="21" t="n">
        <f aca="false">MIN($B$15,B284+C284)</f>
        <v>2997.76</v>
      </c>
      <c r="E284" s="21" t="n">
        <f aca="false">D284-C284</f>
        <v>1811.46517274977</v>
      </c>
      <c r="F284" s="21" t="n">
        <f aca="false">B284+C284-D284</f>
        <v>235447.500277296</v>
      </c>
    </row>
    <row r="285" customFormat="false" ht="15" hidden="false" customHeight="false" outlineLevel="0" collapsed="false">
      <c r="A285" s="13" t="n">
        <v>261</v>
      </c>
      <c r="B285" s="21" t="n">
        <f aca="false">F284</f>
        <v>235447.500277296</v>
      </c>
      <c r="C285" s="21" t="n">
        <f aca="false">B285*$B$12</f>
        <v>1177.23750138648</v>
      </c>
      <c r="D285" s="21" t="n">
        <f aca="false">MIN($B$15,B285+C285)</f>
        <v>2997.76</v>
      </c>
      <c r="E285" s="21" t="n">
        <f aca="false">D285-C285</f>
        <v>1820.52249861352</v>
      </c>
      <c r="F285" s="21" t="n">
        <f aca="false">B285+C285-D285</f>
        <v>233626.977778682</v>
      </c>
    </row>
    <row r="286" customFormat="false" ht="15" hidden="false" customHeight="false" outlineLevel="0" collapsed="false">
      <c r="A286" s="13" t="n">
        <v>262</v>
      </c>
      <c r="B286" s="21" t="n">
        <f aca="false">F285</f>
        <v>233626.977778682</v>
      </c>
      <c r="C286" s="21" t="n">
        <f aca="false">B286*$B$12</f>
        <v>1168.13488889341</v>
      </c>
      <c r="D286" s="21" t="n">
        <f aca="false">MIN($B$15,B286+C286)</f>
        <v>2997.76</v>
      </c>
      <c r="E286" s="21" t="n">
        <f aca="false">D286-C286</f>
        <v>1829.62511110659</v>
      </c>
      <c r="F286" s="21" t="n">
        <f aca="false">B286+C286-D286</f>
        <v>231797.352667575</v>
      </c>
    </row>
    <row r="287" customFormat="false" ht="15" hidden="false" customHeight="false" outlineLevel="0" collapsed="false">
      <c r="A287" s="13" t="n">
        <v>263</v>
      </c>
      <c r="B287" s="21" t="n">
        <f aca="false">F286</f>
        <v>231797.352667575</v>
      </c>
      <c r="C287" s="21" t="n">
        <f aca="false">B287*$B$12</f>
        <v>1158.98676333788</v>
      </c>
      <c r="D287" s="21" t="n">
        <f aca="false">MIN($B$15,B287+C287)</f>
        <v>2997.76</v>
      </c>
      <c r="E287" s="21" t="n">
        <f aca="false">D287-C287</f>
        <v>1838.77323666212</v>
      </c>
      <c r="F287" s="21" t="n">
        <f aca="false">B287+C287-D287</f>
        <v>229958.579430913</v>
      </c>
    </row>
    <row r="288" customFormat="false" ht="15" hidden="false" customHeight="false" outlineLevel="0" collapsed="false">
      <c r="A288" s="13" t="n">
        <v>264</v>
      </c>
      <c r="B288" s="21" t="n">
        <f aca="false">F287</f>
        <v>229958.579430913</v>
      </c>
      <c r="C288" s="21" t="n">
        <f aca="false">B288*$B$12</f>
        <v>1149.79289715457</v>
      </c>
      <c r="D288" s="21" t="n">
        <f aca="false">MIN($B$15,B288+C288)</f>
        <v>2997.76</v>
      </c>
      <c r="E288" s="21" t="n">
        <f aca="false">D288-C288</f>
        <v>1847.96710284543</v>
      </c>
      <c r="F288" s="21" t="n">
        <f aca="false">B288+C288-D288</f>
        <v>228110.612328068</v>
      </c>
    </row>
    <row r="289" customFormat="false" ht="15" hidden="false" customHeight="false" outlineLevel="0" collapsed="false">
      <c r="A289" s="13" t="n">
        <v>265</v>
      </c>
      <c r="B289" s="21" t="n">
        <f aca="false">F288</f>
        <v>228110.612328068</v>
      </c>
      <c r="C289" s="21" t="n">
        <f aca="false">B289*$B$12</f>
        <v>1140.55306164034</v>
      </c>
      <c r="D289" s="21" t="n">
        <f aca="false">MIN($B$15,B289+C289)</f>
        <v>2997.76</v>
      </c>
      <c r="E289" s="21" t="n">
        <f aca="false">D289-C289</f>
        <v>1857.20693835966</v>
      </c>
      <c r="F289" s="21" t="n">
        <f aca="false">B289+C289-D289</f>
        <v>226253.405389708</v>
      </c>
    </row>
    <row r="290" customFormat="false" ht="15" hidden="false" customHeight="false" outlineLevel="0" collapsed="false">
      <c r="A290" s="13" t="n">
        <v>266</v>
      </c>
      <c r="B290" s="21" t="n">
        <f aca="false">F289</f>
        <v>226253.405389708</v>
      </c>
      <c r="C290" s="21" t="n">
        <f aca="false">B290*$B$12</f>
        <v>1131.26702694854</v>
      </c>
      <c r="D290" s="21" t="n">
        <f aca="false">MIN($B$15,B290+C290)</f>
        <v>2997.76</v>
      </c>
      <c r="E290" s="21" t="n">
        <f aca="false">D290-C290</f>
        <v>1866.49297305146</v>
      </c>
      <c r="F290" s="21" t="n">
        <f aca="false">B290+C290-D290</f>
        <v>224386.912416657</v>
      </c>
    </row>
    <row r="291" customFormat="false" ht="15" hidden="false" customHeight="false" outlineLevel="0" collapsed="false">
      <c r="A291" s="13" t="n">
        <v>267</v>
      </c>
      <c r="B291" s="21" t="n">
        <f aca="false">F290</f>
        <v>224386.912416657</v>
      </c>
      <c r="C291" s="21" t="n">
        <f aca="false">B291*$B$12</f>
        <v>1121.93456208328</v>
      </c>
      <c r="D291" s="21" t="n">
        <f aca="false">MIN($B$15,B291+C291)</f>
        <v>2997.76</v>
      </c>
      <c r="E291" s="21" t="n">
        <f aca="false">D291-C291</f>
        <v>1875.82543791672</v>
      </c>
      <c r="F291" s="21" t="n">
        <f aca="false">B291+C291-D291</f>
        <v>222511.08697874</v>
      </c>
    </row>
    <row r="292" customFormat="false" ht="15" hidden="false" customHeight="false" outlineLevel="0" collapsed="false">
      <c r="A292" s="13" t="n">
        <v>268</v>
      </c>
      <c r="B292" s="21" t="n">
        <f aca="false">F291</f>
        <v>222511.08697874</v>
      </c>
      <c r="C292" s="21" t="n">
        <f aca="false">B292*$B$12</f>
        <v>1112.5554348937</v>
      </c>
      <c r="D292" s="21" t="n">
        <f aca="false">MIN($B$15,B292+C292)</f>
        <v>2997.76</v>
      </c>
      <c r="E292" s="21" t="n">
        <f aca="false">D292-C292</f>
        <v>1885.2045651063</v>
      </c>
      <c r="F292" s="21" t="n">
        <f aca="false">B292+C292-D292</f>
        <v>220625.882413634</v>
      </c>
    </row>
    <row r="293" customFormat="false" ht="15" hidden="false" customHeight="false" outlineLevel="0" collapsed="false">
      <c r="A293" s="13" t="n">
        <v>269</v>
      </c>
      <c r="B293" s="21" t="n">
        <f aca="false">F292</f>
        <v>220625.882413634</v>
      </c>
      <c r="C293" s="21" t="n">
        <f aca="false">B293*$B$12</f>
        <v>1103.12941206817</v>
      </c>
      <c r="D293" s="21" t="n">
        <f aca="false">MIN($B$15,B293+C293)</f>
        <v>2997.76</v>
      </c>
      <c r="E293" s="21" t="n">
        <f aca="false">D293-C293</f>
        <v>1894.63058793183</v>
      </c>
      <c r="F293" s="21" t="n">
        <f aca="false">B293+C293-D293</f>
        <v>218731.251825702</v>
      </c>
    </row>
    <row r="294" customFormat="false" ht="15" hidden="false" customHeight="false" outlineLevel="0" collapsed="false">
      <c r="A294" s="13" t="n">
        <v>270</v>
      </c>
      <c r="B294" s="21" t="n">
        <f aca="false">F293</f>
        <v>218731.251825702</v>
      </c>
      <c r="C294" s="21" t="n">
        <f aca="false">B294*$B$12</f>
        <v>1093.65625912851</v>
      </c>
      <c r="D294" s="21" t="n">
        <f aca="false">MIN($B$15,B294+C294)</f>
        <v>2997.76</v>
      </c>
      <c r="E294" s="21" t="n">
        <f aca="false">D294-C294</f>
        <v>1904.10374087149</v>
      </c>
      <c r="F294" s="21" t="n">
        <f aca="false">B294+C294-D294</f>
        <v>216827.14808483</v>
      </c>
    </row>
    <row r="295" customFormat="false" ht="15" hidden="false" customHeight="false" outlineLevel="0" collapsed="false">
      <c r="A295" s="13" t="n">
        <v>271</v>
      </c>
      <c r="B295" s="21" t="n">
        <f aca="false">F294</f>
        <v>216827.14808483</v>
      </c>
      <c r="C295" s="21" t="n">
        <f aca="false">B295*$B$12</f>
        <v>1084.13574042415</v>
      </c>
      <c r="D295" s="21" t="n">
        <f aca="false">MIN($B$15,B295+C295)</f>
        <v>2997.76</v>
      </c>
      <c r="E295" s="21" t="n">
        <f aca="false">D295-C295</f>
        <v>1913.62425957585</v>
      </c>
      <c r="F295" s="21" t="n">
        <f aca="false">B295+C295-D295</f>
        <v>214913.523825255</v>
      </c>
    </row>
    <row r="296" customFormat="false" ht="15" hidden="false" customHeight="false" outlineLevel="0" collapsed="false">
      <c r="A296" s="13" t="n">
        <v>272</v>
      </c>
      <c r="B296" s="21" t="n">
        <f aca="false">F295</f>
        <v>214913.523825255</v>
      </c>
      <c r="C296" s="21" t="n">
        <f aca="false">B296*$B$12</f>
        <v>1074.56761912627</v>
      </c>
      <c r="D296" s="21" t="n">
        <f aca="false">MIN($B$15,B296+C296)</f>
        <v>2997.76</v>
      </c>
      <c r="E296" s="21" t="n">
        <f aca="false">D296-C296</f>
        <v>1923.19238087373</v>
      </c>
      <c r="F296" s="21" t="n">
        <f aca="false">B296+C296-D296</f>
        <v>212990.331444381</v>
      </c>
    </row>
    <row r="297" customFormat="false" ht="15" hidden="false" customHeight="false" outlineLevel="0" collapsed="false">
      <c r="A297" s="13" t="n">
        <v>273</v>
      </c>
      <c r="B297" s="21" t="n">
        <f aca="false">F296</f>
        <v>212990.331444381</v>
      </c>
      <c r="C297" s="21" t="n">
        <f aca="false">B297*$B$12</f>
        <v>1064.9516572219</v>
      </c>
      <c r="D297" s="21" t="n">
        <f aca="false">MIN($B$15,B297+C297)</f>
        <v>2997.76</v>
      </c>
      <c r="E297" s="21" t="n">
        <f aca="false">D297-C297</f>
        <v>1932.8083427781</v>
      </c>
      <c r="F297" s="21" t="n">
        <f aca="false">B297+C297-D297</f>
        <v>211057.523101603</v>
      </c>
    </row>
    <row r="298" customFormat="false" ht="15" hidden="false" customHeight="false" outlineLevel="0" collapsed="false">
      <c r="A298" s="13" t="n">
        <v>274</v>
      </c>
      <c r="B298" s="21" t="n">
        <f aca="false">F297</f>
        <v>211057.523101603</v>
      </c>
      <c r="C298" s="21" t="n">
        <f aca="false">B298*$B$12</f>
        <v>1055.28761550801</v>
      </c>
      <c r="D298" s="21" t="n">
        <f aca="false">MIN($B$15,B298+C298)</f>
        <v>2997.76</v>
      </c>
      <c r="E298" s="21" t="n">
        <f aca="false">D298-C298</f>
        <v>1942.47238449199</v>
      </c>
      <c r="F298" s="21" t="n">
        <f aca="false">B298+C298-D298</f>
        <v>209115.050717111</v>
      </c>
    </row>
    <row r="299" customFormat="false" ht="15" hidden="false" customHeight="false" outlineLevel="0" collapsed="false">
      <c r="A299" s="13" t="n">
        <v>275</v>
      </c>
      <c r="B299" s="21" t="n">
        <f aca="false">F298</f>
        <v>209115.050717111</v>
      </c>
      <c r="C299" s="21" t="n">
        <f aca="false">B299*$B$12</f>
        <v>1045.57525358555</v>
      </c>
      <c r="D299" s="21" t="n">
        <f aca="false">MIN($B$15,B299+C299)</f>
        <v>2997.76</v>
      </c>
      <c r="E299" s="21" t="n">
        <f aca="false">D299-C299</f>
        <v>1952.18474641445</v>
      </c>
      <c r="F299" s="21" t="n">
        <f aca="false">B299+C299-D299</f>
        <v>207162.865970696</v>
      </c>
    </row>
    <row r="300" customFormat="false" ht="15" hidden="false" customHeight="false" outlineLevel="0" collapsed="false">
      <c r="A300" s="13" t="n">
        <v>276</v>
      </c>
      <c r="B300" s="21" t="n">
        <f aca="false">F299</f>
        <v>207162.865970696</v>
      </c>
      <c r="C300" s="21" t="n">
        <f aca="false">B300*$B$12</f>
        <v>1035.81432985348</v>
      </c>
      <c r="D300" s="21" t="n">
        <f aca="false">MIN($B$15,B300+C300)</f>
        <v>2997.76</v>
      </c>
      <c r="E300" s="21" t="n">
        <f aca="false">D300-C300</f>
        <v>1961.94567014652</v>
      </c>
      <c r="F300" s="21" t="n">
        <f aca="false">B300+C300-D300</f>
        <v>205200.92030055</v>
      </c>
    </row>
    <row r="301" customFormat="false" ht="15" hidden="false" customHeight="false" outlineLevel="0" collapsed="false">
      <c r="A301" s="13" t="n">
        <v>277</v>
      </c>
      <c r="B301" s="21" t="n">
        <f aca="false">F300</f>
        <v>205200.92030055</v>
      </c>
      <c r="C301" s="21" t="n">
        <f aca="false">B301*$B$12</f>
        <v>1026.00460150275</v>
      </c>
      <c r="D301" s="21" t="n">
        <f aca="false">MIN($B$15,B301+C301)</f>
        <v>2997.76</v>
      </c>
      <c r="E301" s="21" t="n">
        <f aca="false">D301-C301</f>
        <v>1971.75539849725</v>
      </c>
      <c r="F301" s="21" t="n">
        <f aca="false">B301+C301-D301</f>
        <v>203229.164902052</v>
      </c>
    </row>
    <row r="302" customFormat="false" ht="15" hidden="false" customHeight="false" outlineLevel="0" collapsed="false">
      <c r="A302" s="13" t="n">
        <v>278</v>
      </c>
      <c r="B302" s="21" t="n">
        <f aca="false">F301</f>
        <v>203229.164902052</v>
      </c>
      <c r="C302" s="21" t="n">
        <f aca="false">B302*$B$12</f>
        <v>1016.14582451026</v>
      </c>
      <c r="D302" s="21" t="n">
        <f aca="false">MIN($B$15,B302+C302)</f>
        <v>2997.76</v>
      </c>
      <c r="E302" s="21" t="n">
        <f aca="false">D302-C302</f>
        <v>1981.61417548974</v>
      </c>
      <c r="F302" s="21" t="n">
        <f aca="false">B302+C302-D302</f>
        <v>201247.550726563</v>
      </c>
    </row>
    <row r="303" customFormat="false" ht="15" hidden="false" customHeight="false" outlineLevel="0" collapsed="false">
      <c r="A303" s="13" t="n">
        <v>279</v>
      </c>
      <c r="B303" s="21" t="n">
        <f aca="false">F302</f>
        <v>201247.550726563</v>
      </c>
      <c r="C303" s="21" t="n">
        <f aca="false">B303*$B$12</f>
        <v>1006.23775363281</v>
      </c>
      <c r="D303" s="21" t="n">
        <f aca="false">MIN($B$15,B303+C303)</f>
        <v>2997.76</v>
      </c>
      <c r="E303" s="21" t="n">
        <f aca="false">D303-C303</f>
        <v>1991.52224636719</v>
      </c>
      <c r="F303" s="21" t="n">
        <f aca="false">B303+C303-D303</f>
        <v>199256.028480196</v>
      </c>
    </row>
    <row r="304" customFormat="false" ht="15" hidden="false" customHeight="false" outlineLevel="0" collapsed="false">
      <c r="A304" s="13" t="n">
        <v>280</v>
      </c>
      <c r="B304" s="21" t="n">
        <f aca="false">F303</f>
        <v>199256.028480196</v>
      </c>
      <c r="C304" s="21" t="n">
        <f aca="false">B304*$B$12</f>
        <v>996.280142400978</v>
      </c>
      <c r="D304" s="21" t="n">
        <f aca="false">MIN($B$15,B304+C304)</f>
        <v>2997.76</v>
      </c>
      <c r="E304" s="21" t="n">
        <f aca="false">D304-C304</f>
        <v>2001.47985759902</v>
      </c>
      <c r="F304" s="21" t="n">
        <f aca="false">B304+C304-D304</f>
        <v>197254.548622596</v>
      </c>
    </row>
    <row r="305" customFormat="false" ht="15" hidden="false" customHeight="false" outlineLevel="0" collapsed="false">
      <c r="A305" s="13" t="n">
        <v>281</v>
      </c>
      <c r="B305" s="21" t="n">
        <f aca="false">F304</f>
        <v>197254.548622596</v>
      </c>
      <c r="C305" s="21" t="n">
        <f aca="false">B305*$B$12</f>
        <v>986.272743112982</v>
      </c>
      <c r="D305" s="21" t="n">
        <f aca="false">MIN($B$15,B305+C305)</f>
        <v>2997.76</v>
      </c>
      <c r="E305" s="21" t="n">
        <f aca="false">D305-C305</f>
        <v>2011.48725688702</v>
      </c>
      <c r="F305" s="21" t="n">
        <f aca="false">B305+C305-D305</f>
        <v>195243.061365709</v>
      </c>
    </row>
    <row r="306" customFormat="false" ht="15" hidden="false" customHeight="false" outlineLevel="0" collapsed="false">
      <c r="A306" s="13" t="n">
        <v>282</v>
      </c>
      <c r="B306" s="21" t="n">
        <f aca="false">F305</f>
        <v>195243.061365709</v>
      </c>
      <c r="C306" s="21" t="n">
        <f aca="false">B306*$B$12</f>
        <v>976.215306828547</v>
      </c>
      <c r="D306" s="21" t="n">
        <f aca="false">MIN($B$15,B306+C306)</f>
        <v>2997.76</v>
      </c>
      <c r="E306" s="21" t="n">
        <f aca="false">D306-C306</f>
        <v>2021.54469317145</v>
      </c>
      <c r="F306" s="21" t="n">
        <f aca="false">B306+C306-D306</f>
        <v>193221.516672538</v>
      </c>
    </row>
    <row r="307" customFormat="false" ht="15" hidden="false" customHeight="false" outlineLevel="0" collapsed="false">
      <c r="A307" s="13" t="n">
        <v>283</v>
      </c>
      <c r="B307" s="21" t="n">
        <f aca="false">F306</f>
        <v>193221.516672538</v>
      </c>
      <c r="C307" s="21" t="n">
        <f aca="false">B307*$B$12</f>
        <v>966.10758336269</v>
      </c>
      <c r="D307" s="21" t="n">
        <f aca="false">MIN($B$15,B307+C307)</f>
        <v>2997.76</v>
      </c>
      <c r="E307" s="21" t="n">
        <f aca="false">D307-C307</f>
        <v>2031.65241663731</v>
      </c>
      <c r="F307" s="21" t="n">
        <f aca="false">B307+C307-D307</f>
        <v>191189.864255901</v>
      </c>
    </row>
    <row r="308" customFormat="false" ht="15" hidden="false" customHeight="false" outlineLevel="0" collapsed="false">
      <c r="A308" s="13" t="n">
        <v>284</v>
      </c>
      <c r="B308" s="21" t="n">
        <f aca="false">F307</f>
        <v>191189.864255901</v>
      </c>
      <c r="C308" s="21" t="n">
        <f aca="false">B308*$B$12</f>
        <v>955.949321279504</v>
      </c>
      <c r="D308" s="21" t="n">
        <f aca="false">MIN($B$15,B308+C308)</f>
        <v>2997.76</v>
      </c>
      <c r="E308" s="21" t="n">
        <f aca="false">D308-C308</f>
        <v>2041.8106787205</v>
      </c>
      <c r="F308" s="21" t="n">
        <f aca="false">B308+C308-D308</f>
        <v>189148.05357718</v>
      </c>
    </row>
    <row r="309" customFormat="false" ht="15" hidden="false" customHeight="false" outlineLevel="0" collapsed="false">
      <c r="A309" s="13" t="n">
        <v>285</v>
      </c>
      <c r="B309" s="21" t="n">
        <f aca="false">F308</f>
        <v>189148.05357718</v>
      </c>
      <c r="C309" s="21" t="n">
        <f aca="false">B309*$B$12</f>
        <v>945.740267885901</v>
      </c>
      <c r="D309" s="21" t="n">
        <f aca="false">MIN($B$15,B309+C309)</f>
        <v>2997.76</v>
      </c>
      <c r="E309" s="21" t="n">
        <f aca="false">D309-C309</f>
        <v>2052.0197321141</v>
      </c>
      <c r="F309" s="21" t="n">
        <f aca="false">B309+C309-D309</f>
        <v>187096.033845066</v>
      </c>
    </row>
    <row r="310" customFormat="false" ht="15" hidden="false" customHeight="false" outlineLevel="0" collapsed="false">
      <c r="A310" s="13" t="n">
        <v>286</v>
      </c>
      <c r="B310" s="21" t="n">
        <f aca="false">F309</f>
        <v>187096.033845066</v>
      </c>
      <c r="C310" s="21" t="n">
        <f aca="false">B310*$B$12</f>
        <v>935.48016922533</v>
      </c>
      <c r="D310" s="21" t="n">
        <f aca="false">MIN($B$15,B310+C310)</f>
        <v>2997.76</v>
      </c>
      <c r="E310" s="21" t="n">
        <f aca="false">D310-C310</f>
        <v>2062.27983077467</v>
      </c>
      <c r="F310" s="21" t="n">
        <f aca="false">B310+C310-D310</f>
        <v>185033.754014291</v>
      </c>
    </row>
    <row r="311" customFormat="false" ht="15" hidden="false" customHeight="false" outlineLevel="0" collapsed="false">
      <c r="A311" s="13" t="n">
        <v>287</v>
      </c>
      <c r="B311" s="21" t="n">
        <f aca="false">F310</f>
        <v>185033.754014291</v>
      </c>
      <c r="C311" s="21" t="n">
        <f aca="false">B311*$B$12</f>
        <v>925.168770071457</v>
      </c>
      <c r="D311" s="21" t="n">
        <f aca="false">MIN($B$15,B311+C311)</f>
        <v>2997.76</v>
      </c>
      <c r="E311" s="21" t="n">
        <f aca="false">D311-C311</f>
        <v>2072.59122992854</v>
      </c>
      <c r="F311" s="21" t="n">
        <f aca="false">B311+C311-D311</f>
        <v>182961.162784363</v>
      </c>
    </row>
    <row r="312" customFormat="false" ht="15" hidden="false" customHeight="false" outlineLevel="0" collapsed="false">
      <c r="A312" s="13" t="n">
        <v>288</v>
      </c>
      <c r="B312" s="21" t="n">
        <f aca="false">F311</f>
        <v>182961.162784363</v>
      </c>
      <c r="C312" s="21" t="n">
        <f aca="false">B312*$B$12</f>
        <v>914.805813921814</v>
      </c>
      <c r="D312" s="21" t="n">
        <f aca="false">MIN($B$15,B312+C312)</f>
        <v>2997.76</v>
      </c>
      <c r="E312" s="21" t="n">
        <f aca="false">D312-C312</f>
        <v>2082.95418607819</v>
      </c>
      <c r="F312" s="21" t="n">
        <f aca="false">B312+C312-D312</f>
        <v>180878.208598285</v>
      </c>
    </row>
    <row r="313" customFormat="false" ht="15" hidden="false" customHeight="false" outlineLevel="0" collapsed="false">
      <c r="A313" s="13" t="n">
        <v>289</v>
      </c>
      <c r="B313" s="21" t="n">
        <f aca="false">F312</f>
        <v>180878.208598285</v>
      </c>
      <c r="C313" s="21" t="n">
        <f aca="false">B313*$B$12</f>
        <v>904.391042991423</v>
      </c>
      <c r="D313" s="21" t="n">
        <f aca="false">MIN($B$15,B313+C313)</f>
        <v>2997.76</v>
      </c>
      <c r="E313" s="21" t="n">
        <f aca="false">D313-C313</f>
        <v>2093.36895700858</v>
      </c>
      <c r="F313" s="21" t="n">
        <f aca="false">B313+C313-D313</f>
        <v>178784.839641276</v>
      </c>
    </row>
    <row r="314" customFormat="false" ht="15" hidden="false" customHeight="false" outlineLevel="0" collapsed="false">
      <c r="A314" s="13" t="n">
        <v>290</v>
      </c>
      <c r="B314" s="21" t="n">
        <f aca="false">F313</f>
        <v>178784.839641276</v>
      </c>
      <c r="C314" s="21" t="n">
        <f aca="false">B314*$B$12</f>
        <v>893.924198206381</v>
      </c>
      <c r="D314" s="21" t="n">
        <f aca="false">MIN($B$15,B314+C314)</f>
        <v>2997.76</v>
      </c>
      <c r="E314" s="21" t="n">
        <f aca="false">D314-C314</f>
        <v>2103.83580179362</v>
      </c>
      <c r="F314" s="21" t="n">
        <f aca="false">B314+C314-D314</f>
        <v>176681.003839482</v>
      </c>
    </row>
    <row r="315" customFormat="false" ht="15" hidden="false" customHeight="false" outlineLevel="0" collapsed="false">
      <c r="A315" s="13" t="n">
        <v>291</v>
      </c>
      <c r="B315" s="21" t="n">
        <f aca="false">F314</f>
        <v>176681.003839482</v>
      </c>
      <c r="C315" s="21" t="n">
        <f aca="false">B315*$B$12</f>
        <v>883.405019197412</v>
      </c>
      <c r="D315" s="21" t="n">
        <f aca="false">MIN($B$15,B315+C315)</f>
        <v>2997.76</v>
      </c>
      <c r="E315" s="21" t="n">
        <f aca="false">D315-C315</f>
        <v>2114.35498080259</v>
      </c>
      <c r="F315" s="21" t="n">
        <f aca="false">B315+C315-D315</f>
        <v>174566.64885868</v>
      </c>
    </row>
    <row r="316" customFormat="false" ht="15" hidden="false" customHeight="false" outlineLevel="0" collapsed="false">
      <c r="A316" s="13" t="n">
        <v>292</v>
      </c>
      <c r="B316" s="21" t="n">
        <f aca="false">F315</f>
        <v>174566.64885868</v>
      </c>
      <c r="C316" s="21" t="n">
        <f aca="false">B316*$B$12</f>
        <v>872.833244293399</v>
      </c>
      <c r="D316" s="21" t="n">
        <f aca="false">MIN($B$15,B316+C316)</f>
        <v>2997.76</v>
      </c>
      <c r="E316" s="21" t="n">
        <f aca="false">D316-C316</f>
        <v>2124.9267557066</v>
      </c>
      <c r="F316" s="21" t="n">
        <f aca="false">B316+C316-D316</f>
        <v>172441.722102973</v>
      </c>
    </row>
    <row r="317" customFormat="false" ht="15" hidden="false" customHeight="false" outlineLevel="0" collapsed="false">
      <c r="A317" s="13" t="n">
        <v>293</v>
      </c>
      <c r="B317" s="21" t="n">
        <f aca="false">F316</f>
        <v>172441.722102973</v>
      </c>
      <c r="C317" s="21" t="n">
        <f aca="false">B317*$B$12</f>
        <v>862.208610514866</v>
      </c>
      <c r="D317" s="21" t="n">
        <f aca="false">MIN($B$15,B317+C317)</f>
        <v>2997.76</v>
      </c>
      <c r="E317" s="21" t="n">
        <f aca="false">D317-C317</f>
        <v>2135.55138948513</v>
      </c>
      <c r="F317" s="21" t="n">
        <f aca="false">B317+C317-D317</f>
        <v>170306.170713488</v>
      </c>
    </row>
    <row r="318" customFormat="false" ht="15" hidden="false" customHeight="false" outlineLevel="0" collapsed="false">
      <c r="A318" s="13" t="n">
        <v>294</v>
      </c>
      <c r="B318" s="21" t="n">
        <f aca="false">F317</f>
        <v>170306.170713488</v>
      </c>
      <c r="C318" s="21" t="n">
        <f aca="false">B318*$B$12</f>
        <v>851.530853567441</v>
      </c>
      <c r="D318" s="21" t="n">
        <f aca="false">MIN($B$15,B318+C318)</f>
        <v>2997.76</v>
      </c>
      <c r="E318" s="21" t="n">
        <f aca="false">D318-C318</f>
        <v>2146.22914643256</v>
      </c>
      <c r="F318" s="21" t="n">
        <f aca="false">B318+C318-D318</f>
        <v>168159.941567056</v>
      </c>
    </row>
    <row r="319" customFormat="false" ht="15" hidden="false" customHeight="false" outlineLevel="0" collapsed="false">
      <c r="A319" s="13" t="n">
        <v>295</v>
      </c>
      <c r="B319" s="21" t="n">
        <f aca="false">F318</f>
        <v>168159.941567056</v>
      </c>
      <c r="C319" s="21" t="n">
        <f aca="false">B319*$B$12</f>
        <v>840.799707835278</v>
      </c>
      <c r="D319" s="21" t="n">
        <f aca="false">MIN($B$15,B319+C319)</f>
        <v>2997.76</v>
      </c>
      <c r="E319" s="21" t="n">
        <f aca="false">D319-C319</f>
        <v>2156.96029216472</v>
      </c>
      <c r="F319" s="21" t="n">
        <f aca="false">B319+C319-D319</f>
        <v>166002.981274891</v>
      </c>
    </row>
    <row r="320" customFormat="false" ht="15" hidden="false" customHeight="false" outlineLevel="0" collapsed="false">
      <c r="A320" s="13" t="n">
        <v>296</v>
      </c>
      <c r="B320" s="21" t="n">
        <f aca="false">F319</f>
        <v>166002.981274891</v>
      </c>
      <c r="C320" s="21" t="n">
        <f aca="false">B320*$B$12</f>
        <v>830.014906374454</v>
      </c>
      <c r="D320" s="21" t="n">
        <f aca="false">MIN($B$15,B320+C320)</f>
        <v>2997.76</v>
      </c>
      <c r="E320" s="21" t="n">
        <f aca="false">D320-C320</f>
        <v>2167.74509362555</v>
      </c>
      <c r="F320" s="21" t="n">
        <f aca="false">B320+C320-D320</f>
        <v>163835.236181265</v>
      </c>
    </row>
    <row r="321" customFormat="false" ht="15" hidden="false" customHeight="false" outlineLevel="0" collapsed="false">
      <c r="A321" s="13" t="n">
        <v>297</v>
      </c>
      <c r="B321" s="21" t="n">
        <f aca="false">F320</f>
        <v>163835.236181265</v>
      </c>
      <c r="C321" s="21" t="n">
        <f aca="false">B321*$B$12</f>
        <v>819.176180906326</v>
      </c>
      <c r="D321" s="21" t="n">
        <f aca="false">MIN($B$15,B321+C321)</f>
        <v>2997.76</v>
      </c>
      <c r="E321" s="21" t="n">
        <f aca="false">D321-C321</f>
        <v>2178.58381909367</v>
      </c>
      <c r="F321" s="21" t="n">
        <f aca="false">B321+C321-D321</f>
        <v>161656.652362172</v>
      </c>
    </row>
    <row r="322" customFormat="false" ht="15" hidden="false" customHeight="false" outlineLevel="0" collapsed="false">
      <c r="A322" s="13" t="n">
        <v>298</v>
      </c>
      <c r="B322" s="21" t="n">
        <f aca="false">F321</f>
        <v>161656.652362172</v>
      </c>
      <c r="C322" s="21" t="n">
        <f aca="false">B322*$B$12</f>
        <v>808.283261810858</v>
      </c>
      <c r="D322" s="21" t="n">
        <f aca="false">MIN($B$15,B322+C322)</f>
        <v>2997.76</v>
      </c>
      <c r="E322" s="21" t="n">
        <f aca="false">D322-C322</f>
        <v>2189.47673818914</v>
      </c>
      <c r="F322" s="21" t="n">
        <f aca="false">B322+C322-D322</f>
        <v>159467.175623982</v>
      </c>
    </row>
    <row r="323" customFormat="false" ht="15" hidden="false" customHeight="false" outlineLevel="0" collapsed="false">
      <c r="A323" s="13" t="n">
        <v>299</v>
      </c>
      <c r="B323" s="21" t="n">
        <f aca="false">F322</f>
        <v>159467.175623982</v>
      </c>
      <c r="C323" s="21" t="n">
        <f aca="false">B323*$B$12</f>
        <v>797.335878119912</v>
      </c>
      <c r="D323" s="21" t="n">
        <f aca="false">MIN($B$15,B323+C323)</f>
        <v>2997.76</v>
      </c>
      <c r="E323" s="21" t="n">
        <f aca="false">D323-C323</f>
        <v>2200.42412188009</v>
      </c>
      <c r="F323" s="21" t="n">
        <f aca="false">B323+C323-D323</f>
        <v>157266.751502102</v>
      </c>
    </row>
    <row r="324" customFormat="false" ht="15" hidden="false" customHeight="false" outlineLevel="0" collapsed="false">
      <c r="A324" s="13" t="n">
        <v>300</v>
      </c>
      <c r="B324" s="21" t="n">
        <f aca="false">F323</f>
        <v>157266.751502102</v>
      </c>
      <c r="C324" s="21" t="n">
        <f aca="false">B324*$B$12</f>
        <v>786.333757510512</v>
      </c>
      <c r="D324" s="21" t="n">
        <f aca="false">MIN($B$15,B324+C324)</f>
        <v>2997.76</v>
      </c>
      <c r="E324" s="21" t="n">
        <f aca="false">D324-C324</f>
        <v>2211.42624248949</v>
      </c>
      <c r="F324" s="21" t="n">
        <f aca="false">B324+C324-D324</f>
        <v>155055.325259613</v>
      </c>
    </row>
    <row r="325" customFormat="false" ht="15" hidden="false" customHeight="false" outlineLevel="0" collapsed="false">
      <c r="A325" s="13" t="n">
        <v>301</v>
      </c>
      <c r="B325" s="21" t="n">
        <f aca="false">F324</f>
        <v>155055.325259613</v>
      </c>
      <c r="C325" s="21" t="n">
        <f aca="false">B325*$B$12</f>
        <v>775.276626298064</v>
      </c>
      <c r="D325" s="21" t="n">
        <f aca="false">MIN($B$15,B325+C325)</f>
        <v>2997.76</v>
      </c>
      <c r="E325" s="21" t="n">
        <f aca="false">D325-C325</f>
        <v>2222.48337370194</v>
      </c>
      <c r="F325" s="21" t="n">
        <f aca="false">B325+C325-D325</f>
        <v>152832.841885911</v>
      </c>
    </row>
    <row r="326" customFormat="false" ht="15" hidden="false" customHeight="false" outlineLevel="0" collapsed="false">
      <c r="A326" s="13" t="n">
        <v>302</v>
      </c>
      <c r="B326" s="21" t="n">
        <f aca="false">F325</f>
        <v>152832.841885911</v>
      </c>
      <c r="C326" s="21" t="n">
        <f aca="false">B326*$B$12</f>
        <v>764.164209429555</v>
      </c>
      <c r="D326" s="21" t="n">
        <f aca="false">MIN($B$15,B326+C326)</f>
        <v>2997.76</v>
      </c>
      <c r="E326" s="21" t="n">
        <f aca="false">D326-C326</f>
        <v>2233.59579057045</v>
      </c>
      <c r="F326" s="21" t="n">
        <f aca="false">B326+C326-D326</f>
        <v>150599.24609534</v>
      </c>
    </row>
    <row r="327" customFormat="false" ht="15" hidden="false" customHeight="false" outlineLevel="0" collapsed="false">
      <c r="A327" s="13" t="n">
        <v>303</v>
      </c>
      <c r="B327" s="21" t="n">
        <f aca="false">F326</f>
        <v>150599.24609534</v>
      </c>
      <c r="C327" s="21" t="n">
        <f aca="false">B327*$B$12</f>
        <v>752.996230476702</v>
      </c>
      <c r="D327" s="21" t="n">
        <f aca="false">MIN($B$15,B327+C327)</f>
        <v>2997.76</v>
      </c>
      <c r="E327" s="21" t="n">
        <f aca="false">D327-C327</f>
        <v>2244.7637695233</v>
      </c>
      <c r="F327" s="21" t="n">
        <f aca="false">B327+C327-D327</f>
        <v>148354.482325817</v>
      </c>
    </row>
    <row r="328" customFormat="false" ht="15" hidden="false" customHeight="false" outlineLevel="0" collapsed="false">
      <c r="A328" s="13" t="n">
        <v>304</v>
      </c>
      <c r="B328" s="21" t="n">
        <f aca="false">F327</f>
        <v>148354.482325817</v>
      </c>
      <c r="C328" s="21" t="n">
        <f aca="false">B328*$B$12</f>
        <v>741.772411629086</v>
      </c>
      <c r="D328" s="21" t="n">
        <f aca="false">MIN($B$15,B328+C328)</f>
        <v>2997.76</v>
      </c>
      <c r="E328" s="21" t="n">
        <f aca="false">D328-C328</f>
        <v>2255.98758837091</v>
      </c>
      <c r="F328" s="21" t="n">
        <f aca="false">B328+C328-D328</f>
        <v>146098.494737446</v>
      </c>
    </row>
    <row r="329" customFormat="false" ht="15" hidden="false" customHeight="false" outlineLevel="0" collapsed="false">
      <c r="A329" s="13" t="n">
        <v>305</v>
      </c>
      <c r="B329" s="21" t="n">
        <f aca="false">F328</f>
        <v>146098.494737446</v>
      </c>
      <c r="C329" s="21" t="n">
        <f aca="false">B329*$B$12</f>
        <v>730.492473687231</v>
      </c>
      <c r="D329" s="21" t="n">
        <f aca="false">MIN($B$15,B329+C329)</f>
        <v>2997.76</v>
      </c>
      <c r="E329" s="21" t="n">
        <f aca="false">D329-C329</f>
        <v>2267.26752631277</v>
      </c>
      <c r="F329" s="21" t="n">
        <f aca="false">B329+C329-D329</f>
        <v>143831.227211133</v>
      </c>
    </row>
    <row r="330" customFormat="false" ht="15" hidden="false" customHeight="false" outlineLevel="0" collapsed="false">
      <c r="A330" s="13" t="n">
        <v>306</v>
      </c>
      <c r="B330" s="21" t="n">
        <f aca="false">F329</f>
        <v>143831.227211133</v>
      </c>
      <c r="C330" s="21" t="n">
        <f aca="false">B330*$B$12</f>
        <v>719.156136055667</v>
      </c>
      <c r="D330" s="21" t="n">
        <f aca="false">MIN($B$15,B330+C330)</f>
        <v>2997.76</v>
      </c>
      <c r="E330" s="21" t="n">
        <f aca="false">D330-C330</f>
        <v>2278.60386394433</v>
      </c>
      <c r="F330" s="21" t="n">
        <f aca="false">B330+C330-D330</f>
        <v>141552.623347189</v>
      </c>
    </row>
    <row r="331" customFormat="false" ht="15" hidden="false" customHeight="false" outlineLevel="0" collapsed="false">
      <c r="A331" s="13" t="n">
        <v>307</v>
      </c>
      <c r="B331" s="21" t="n">
        <f aca="false">F330</f>
        <v>141552.623347189</v>
      </c>
      <c r="C331" s="21" t="n">
        <f aca="false">B331*$B$12</f>
        <v>707.763116735946</v>
      </c>
      <c r="D331" s="21" t="n">
        <f aca="false">MIN($B$15,B331+C331)</f>
        <v>2997.76</v>
      </c>
      <c r="E331" s="21" t="n">
        <f aca="false">D331-C331</f>
        <v>2289.99688326405</v>
      </c>
      <c r="F331" s="21" t="n">
        <f aca="false">B331+C331-D331</f>
        <v>139262.626463925</v>
      </c>
    </row>
    <row r="332" customFormat="false" ht="15" hidden="false" customHeight="false" outlineLevel="0" collapsed="false">
      <c r="A332" s="13" t="n">
        <v>308</v>
      </c>
      <c r="B332" s="21" t="n">
        <f aca="false">F331</f>
        <v>139262.626463925</v>
      </c>
      <c r="C332" s="21" t="n">
        <f aca="false">B332*$B$12</f>
        <v>696.313132319625</v>
      </c>
      <c r="D332" s="21" t="n">
        <f aca="false">MIN($B$15,B332+C332)</f>
        <v>2997.76</v>
      </c>
      <c r="E332" s="21" t="n">
        <f aca="false">D332-C332</f>
        <v>2301.44686768038</v>
      </c>
      <c r="F332" s="21" t="n">
        <f aca="false">B332+C332-D332</f>
        <v>136961.179596245</v>
      </c>
    </row>
    <row r="333" customFormat="false" ht="15" hidden="false" customHeight="false" outlineLevel="0" collapsed="false">
      <c r="A333" s="13" t="n">
        <v>309</v>
      </c>
      <c r="B333" s="21" t="n">
        <f aca="false">F332</f>
        <v>136961.179596245</v>
      </c>
      <c r="C333" s="21" t="n">
        <f aca="false">B333*$B$12</f>
        <v>684.805897981223</v>
      </c>
      <c r="D333" s="21" t="n">
        <f aca="false">MIN($B$15,B333+C333)</f>
        <v>2997.76</v>
      </c>
      <c r="E333" s="21" t="n">
        <f aca="false">D333-C333</f>
        <v>2312.95410201878</v>
      </c>
      <c r="F333" s="21" t="n">
        <f aca="false">B333+C333-D333</f>
        <v>134648.225494226</v>
      </c>
    </row>
    <row r="334" customFormat="false" ht="15" hidden="false" customHeight="false" outlineLevel="0" collapsed="false">
      <c r="A334" s="13" t="n">
        <v>310</v>
      </c>
      <c r="B334" s="21" t="n">
        <f aca="false">F333</f>
        <v>134648.225494226</v>
      </c>
      <c r="C334" s="21" t="n">
        <f aca="false">B334*$B$12</f>
        <v>673.241127471129</v>
      </c>
      <c r="D334" s="21" t="n">
        <f aca="false">MIN($B$15,B334+C334)</f>
        <v>2997.76</v>
      </c>
      <c r="E334" s="21" t="n">
        <f aca="false">D334-C334</f>
        <v>2324.51887252887</v>
      </c>
      <c r="F334" s="21" t="n">
        <f aca="false">B334+C334-D334</f>
        <v>132323.706621697</v>
      </c>
    </row>
    <row r="335" customFormat="false" ht="15" hidden="false" customHeight="false" outlineLevel="0" collapsed="false">
      <c r="A335" s="13" t="n">
        <v>311</v>
      </c>
      <c r="B335" s="21" t="n">
        <f aca="false">F334</f>
        <v>132323.706621697</v>
      </c>
      <c r="C335" s="21" t="n">
        <f aca="false">B335*$B$12</f>
        <v>661.618533108485</v>
      </c>
      <c r="D335" s="21" t="n">
        <f aca="false">MIN($B$15,B335+C335)</f>
        <v>2997.76</v>
      </c>
      <c r="E335" s="21" t="n">
        <f aca="false">D335-C335</f>
        <v>2336.14146689152</v>
      </c>
      <c r="F335" s="21" t="n">
        <f aca="false">B335+C335-D335</f>
        <v>129987.565154805</v>
      </c>
    </row>
    <row r="336" customFormat="false" ht="15" hidden="false" customHeight="false" outlineLevel="0" collapsed="false">
      <c r="A336" s="13" t="n">
        <v>312</v>
      </c>
      <c r="B336" s="21" t="n">
        <f aca="false">F335</f>
        <v>129987.565154805</v>
      </c>
      <c r="C336" s="21" t="n">
        <f aca="false">B336*$B$12</f>
        <v>649.937825774027</v>
      </c>
      <c r="D336" s="21" t="n">
        <f aca="false">MIN($B$15,B336+C336)</f>
        <v>2997.76</v>
      </c>
      <c r="E336" s="21" t="n">
        <f aca="false">D336-C336</f>
        <v>2347.82217422597</v>
      </c>
      <c r="F336" s="21" t="n">
        <f aca="false">B336+C336-D336</f>
        <v>127639.74298058</v>
      </c>
    </row>
    <row r="337" customFormat="false" ht="15" hidden="false" customHeight="false" outlineLevel="0" collapsed="false">
      <c r="A337" s="13" t="n">
        <v>313</v>
      </c>
      <c r="B337" s="21" t="n">
        <f aca="false">F336</f>
        <v>127639.74298058</v>
      </c>
      <c r="C337" s="21" t="n">
        <f aca="false">B337*$B$12</f>
        <v>638.198714902898</v>
      </c>
      <c r="D337" s="21" t="n">
        <f aca="false">MIN($B$15,B337+C337)</f>
        <v>2997.76</v>
      </c>
      <c r="E337" s="21" t="n">
        <f aca="false">D337-C337</f>
        <v>2359.5612850971</v>
      </c>
      <c r="F337" s="21" t="n">
        <f aca="false">B337+C337-D337</f>
        <v>125280.181695482</v>
      </c>
    </row>
    <row r="338" customFormat="false" ht="15" hidden="false" customHeight="false" outlineLevel="0" collapsed="false">
      <c r="A338" s="13" t="n">
        <v>314</v>
      </c>
      <c r="B338" s="21" t="n">
        <f aca="false">F337</f>
        <v>125280.181695482</v>
      </c>
      <c r="C338" s="21" t="n">
        <f aca="false">B338*$B$12</f>
        <v>626.400908477412</v>
      </c>
      <c r="D338" s="21" t="n">
        <f aca="false">MIN($B$15,B338+C338)</f>
        <v>2997.76</v>
      </c>
      <c r="E338" s="21" t="n">
        <f aca="false">D338-C338</f>
        <v>2371.35909152259</v>
      </c>
      <c r="F338" s="21" t="n">
        <f aca="false">B338+C338-D338</f>
        <v>122908.82260396</v>
      </c>
    </row>
    <row r="339" customFormat="false" ht="15" hidden="false" customHeight="false" outlineLevel="0" collapsed="false">
      <c r="A339" s="13" t="n">
        <v>315</v>
      </c>
      <c r="B339" s="21" t="n">
        <f aca="false">F338</f>
        <v>122908.82260396</v>
      </c>
      <c r="C339" s="21" t="n">
        <f aca="false">B339*$B$12</f>
        <v>614.544113019799</v>
      </c>
      <c r="D339" s="21" t="n">
        <f aca="false">MIN($B$15,B339+C339)</f>
        <v>2997.76</v>
      </c>
      <c r="E339" s="21" t="n">
        <f aca="false">D339-C339</f>
        <v>2383.2158869802</v>
      </c>
      <c r="F339" s="21" t="n">
        <f aca="false">B339+C339-D339</f>
        <v>120525.60671698</v>
      </c>
    </row>
    <row r="340" customFormat="false" ht="15" hidden="false" customHeight="false" outlineLevel="0" collapsed="false">
      <c r="A340" s="13" t="n">
        <v>316</v>
      </c>
      <c r="B340" s="21" t="n">
        <f aca="false">F339</f>
        <v>120525.60671698</v>
      </c>
      <c r="C340" s="21" t="n">
        <f aca="false">B340*$B$12</f>
        <v>602.628033584898</v>
      </c>
      <c r="D340" s="21" t="n">
        <f aca="false">MIN($B$15,B340+C340)</f>
        <v>2997.76</v>
      </c>
      <c r="E340" s="21" t="n">
        <f aca="false">D340-C340</f>
        <v>2395.1319664151</v>
      </c>
      <c r="F340" s="21" t="n">
        <f aca="false">B340+C340-D340</f>
        <v>118130.474750565</v>
      </c>
    </row>
    <row r="341" customFormat="false" ht="15" hidden="false" customHeight="false" outlineLevel="0" collapsed="false">
      <c r="A341" s="13" t="n">
        <v>317</v>
      </c>
      <c r="B341" s="21" t="n">
        <f aca="false">F340</f>
        <v>118130.474750565</v>
      </c>
      <c r="C341" s="21" t="n">
        <f aca="false">B341*$B$12</f>
        <v>590.652373752823</v>
      </c>
      <c r="D341" s="21" t="n">
        <f aca="false">MIN($B$15,B341+C341)</f>
        <v>2997.76</v>
      </c>
      <c r="E341" s="21" t="n">
        <f aca="false">D341-C341</f>
        <v>2407.10762624718</v>
      </c>
      <c r="F341" s="21" t="n">
        <f aca="false">B341+C341-D341</f>
        <v>115723.367124317</v>
      </c>
    </row>
    <row r="342" customFormat="false" ht="15" hidden="false" customHeight="false" outlineLevel="0" collapsed="false">
      <c r="A342" s="13" t="n">
        <v>318</v>
      </c>
      <c r="B342" s="21" t="n">
        <f aca="false">F341</f>
        <v>115723.367124317</v>
      </c>
      <c r="C342" s="21" t="n">
        <f aca="false">B342*$B$12</f>
        <v>578.616835621587</v>
      </c>
      <c r="D342" s="21" t="n">
        <f aca="false">MIN($B$15,B342+C342)</f>
        <v>2997.76</v>
      </c>
      <c r="E342" s="21" t="n">
        <f aca="false">D342-C342</f>
        <v>2419.14316437841</v>
      </c>
      <c r="F342" s="21" t="n">
        <f aca="false">B342+C342-D342</f>
        <v>113304.223959939</v>
      </c>
    </row>
    <row r="343" customFormat="false" ht="15" hidden="false" customHeight="false" outlineLevel="0" collapsed="false">
      <c r="A343" s="13" t="n">
        <v>319</v>
      </c>
      <c r="B343" s="21" t="n">
        <f aca="false">F342</f>
        <v>113304.223959939</v>
      </c>
      <c r="C343" s="21" t="n">
        <f aca="false">B343*$B$12</f>
        <v>566.521119799695</v>
      </c>
      <c r="D343" s="21" t="n">
        <f aca="false">MIN($B$15,B343+C343)</f>
        <v>2997.76</v>
      </c>
      <c r="E343" s="21" t="n">
        <f aca="false">D343-C343</f>
        <v>2431.23888020031</v>
      </c>
      <c r="F343" s="21" t="n">
        <f aca="false">B343+C343-D343</f>
        <v>110872.985079739</v>
      </c>
    </row>
    <row r="344" customFormat="false" ht="15" hidden="false" customHeight="false" outlineLevel="0" collapsed="false">
      <c r="A344" s="13" t="n">
        <v>320</v>
      </c>
      <c r="B344" s="21" t="n">
        <f aca="false">F343</f>
        <v>110872.985079739</v>
      </c>
      <c r="C344" s="21" t="n">
        <f aca="false">B344*$B$12</f>
        <v>554.364925398693</v>
      </c>
      <c r="D344" s="21" t="n">
        <f aca="false">MIN($B$15,B344+C344)</f>
        <v>2997.76</v>
      </c>
      <c r="E344" s="21" t="n">
        <f aca="false">D344-C344</f>
        <v>2443.39507460131</v>
      </c>
      <c r="F344" s="21" t="n">
        <f aca="false">B344+C344-D344</f>
        <v>108429.590005137</v>
      </c>
    </row>
    <row r="345" customFormat="false" ht="15" hidden="false" customHeight="false" outlineLevel="0" collapsed="false">
      <c r="A345" s="13" t="n">
        <v>321</v>
      </c>
      <c r="B345" s="21" t="n">
        <f aca="false">F344</f>
        <v>108429.590005137</v>
      </c>
      <c r="C345" s="21" t="n">
        <f aca="false">B345*$B$12</f>
        <v>542.147950025687</v>
      </c>
      <c r="D345" s="21" t="n">
        <f aca="false">MIN($B$15,B345+C345)</f>
        <v>2997.76</v>
      </c>
      <c r="E345" s="21" t="n">
        <f aca="false">D345-C345</f>
        <v>2455.61204997431</v>
      </c>
      <c r="F345" s="21" t="n">
        <f aca="false">B345+C345-D345</f>
        <v>105973.977955163</v>
      </c>
    </row>
    <row r="346" customFormat="false" ht="15" hidden="false" customHeight="false" outlineLevel="0" collapsed="false">
      <c r="A346" s="13" t="n">
        <v>322</v>
      </c>
      <c r="B346" s="21" t="n">
        <f aca="false">F345</f>
        <v>105973.977955163</v>
      </c>
      <c r="C346" s="21" t="n">
        <f aca="false">B346*$B$12</f>
        <v>529.869889775815</v>
      </c>
      <c r="D346" s="21" t="n">
        <f aca="false">MIN($B$15,B346+C346)</f>
        <v>2997.76</v>
      </c>
      <c r="E346" s="21" t="n">
        <f aca="false">D346-C346</f>
        <v>2467.89011022419</v>
      </c>
      <c r="F346" s="21" t="n">
        <f aca="false">B346+C346-D346</f>
        <v>103506.087844939</v>
      </c>
    </row>
    <row r="347" customFormat="false" ht="15" hidden="false" customHeight="false" outlineLevel="0" collapsed="false">
      <c r="A347" s="13" t="n">
        <v>323</v>
      </c>
      <c r="B347" s="21" t="n">
        <f aca="false">F346</f>
        <v>103506.087844939</v>
      </c>
      <c r="C347" s="21" t="n">
        <f aca="false">B347*$B$12</f>
        <v>517.530439224694</v>
      </c>
      <c r="D347" s="21" t="n">
        <f aca="false">MIN($B$15,B347+C347)</f>
        <v>2997.76</v>
      </c>
      <c r="E347" s="21" t="n">
        <f aca="false">D347-C347</f>
        <v>2480.22956077531</v>
      </c>
      <c r="F347" s="21" t="n">
        <f aca="false">B347+C347-D347</f>
        <v>101025.858284164</v>
      </c>
    </row>
    <row r="348" customFormat="false" ht="15" hidden="false" customHeight="false" outlineLevel="0" collapsed="false">
      <c r="A348" s="13" t="n">
        <v>324</v>
      </c>
      <c r="B348" s="21" t="n">
        <f aca="false">F347</f>
        <v>101025.858284164</v>
      </c>
      <c r="C348" s="21" t="n">
        <f aca="false">B348*$B$12</f>
        <v>505.129291420818</v>
      </c>
      <c r="D348" s="21" t="n">
        <f aca="false">MIN($B$15,B348+C348)</f>
        <v>2997.76</v>
      </c>
      <c r="E348" s="21" t="n">
        <f aca="false">D348-C348</f>
        <v>2492.63070857918</v>
      </c>
      <c r="F348" s="21" t="n">
        <f aca="false">B348+C348-D348</f>
        <v>98533.2275755844</v>
      </c>
    </row>
    <row r="349" customFormat="false" ht="15" hidden="false" customHeight="false" outlineLevel="0" collapsed="false">
      <c r="A349" s="13" t="n">
        <v>325</v>
      </c>
      <c r="B349" s="21" t="n">
        <f aca="false">F348</f>
        <v>98533.2275755844</v>
      </c>
      <c r="C349" s="21" t="n">
        <f aca="false">B349*$B$12</f>
        <v>492.666137877922</v>
      </c>
      <c r="D349" s="21" t="n">
        <f aca="false">MIN($B$15,B349+C349)</f>
        <v>2997.76</v>
      </c>
      <c r="E349" s="21" t="n">
        <f aca="false">D349-C349</f>
        <v>2505.09386212208</v>
      </c>
      <c r="F349" s="21" t="n">
        <f aca="false">B349+C349-D349</f>
        <v>96028.1337134623</v>
      </c>
    </row>
    <row r="350" customFormat="false" ht="15" hidden="false" customHeight="false" outlineLevel="0" collapsed="false">
      <c r="A350" s="13" t="n">
        <v>326</v>
      </c>
      <c r="B350" s="21" t="n">
        <f aca="false">F349</f>
        <v>96028.1337134623</v>
      </c>
      <c r="C350" s="21" t="n">
        <f aca="false">B350*$B$12</f>
        <v>480.140668567312</v>
      </c>
      <c r="D350" s="21" t="n">
        <f aca="false">MIN($B$15,B350+C350)</f>
        <v>2997.76</v>
      </c>
      <c r="E350" s="21" t="n">
        <f aca="false">D350-C350</f>
        <v>2517.61933143269</v>
      </c>
      <c r="F350" s="21" t="n">
        <f aca="false">B350+C350-D350</f>
        <v>93510.5143820297</v>
      </c>
    </row>
    <row r="351" customFormat="false" ht="15" hidden="false" customHeight="false" outlineLevel="0" collapsed="false">
      <c r="A351" s="13" t="n">
        <v>327</v>
      </c>
      <c r="B351" s="21" t="n">
        <f aca="false">F350</f>
        <v>93510.5143820297</v>
      </c>
      <c r="C351" s="21" t="n">
        <f aca="false">B351*$B$12</f>
        <v>467.552571910148</v>
      </c>
      <c r="D351" s="21" t="n">
        <f aca="false">MIN($B$15,B351+C351)</f>
        <v>2997.76</v>
      </c>
      <c r="E351" s="21" t="n">
        <f aca="false">D351-C351</f>
        <v>2530.20742808985</v>
      </c>
      <c r="F351" s="21" t="n">
        <f aca="false">B351+C351-D351</f>
        <v>90980.3069539398</v>
      </c>
    </row>
    <row r="352" customFormat="false" ht="15" hidden="false" customHeight="false" outlineLevel="0" collapsed="false">
      <c r="A352" s="13" t="n">
        <v>328</v>
      </c>
      <c r="B352" s="21" t="n">
        <f aca="false">F351</f>
        <v>90980.3069539398</v>
      </c>
      <c r="C352" s="21" t="n">
        <f aca="false">B352*$B$12</f>
        <v>454.901534769699</v>
      </c>
      <c r="D352" s="21" t="n">
        <f aca="false">MIN($B$15,B352+C352)</f>
        <v>2997.76</v>
      </c>
      <c r="E352" s="21" t="n">
        <f aca="false">D352-C352</f>
        <v>2542.8584652303</v>
      </c>
      <c r="F352" s="21" t="n">
        <f aca="false">B352+C352-D352</f>
        <v>88437.4484887095</v>
      </c>
    </row>
    <row r="353" customFormat="false" ht="15" hidden="false" customHeight="false" outlineLevel="0" collapsed="false">
      <c r="A353" s="13" t="n">
        <v>329</v>
      </c>
      <c r="B353" s="21" t="n">
        <f aca="false">F352</f>
        <v>88437.4484887095</v>
      </c>
      <c r="C353" s="21" t="n">
        <f aca="false">B353*$B$12</f>
        <v>442.187242443548</v>
      </c>
      <c r="D353" s="21" t="n">
        <f aca="false">MIN($B$15,B353+C353)</f>
        <v>2997.76</v>
      </c>
      <c r="E353" s="21" t="n">
        <f aca="false">D353-C353</f>
        <v>2555.57275755645</v>
      </c>
      <c r="F353" s="21" t="n">
        <f aca="false">B353+C353-D353</f>
        <v>85881.8757311531</v>
      </c>
    </row>
    <row r="354" customFormat="false" ht="15" hidden="false" customHeight="false" outlineLevel="0" collapsed="false">
      <c r="A354" s="13" t="n">
        <v>330</v>
      </c>
      <c r="B354" s="21" t="n">
        <f aca="false">F353</f>
        <v>85881.8757311531</v>
      </c>
      <c r="C354" s="21" t="n">
        <f aca="false">B354*$B$12</f>
        <v>429.409378655765</v>
      </c>
      <c r="D354" s="21" t="n">
        <f aca="false">MIN($B$15,B354+C354)</f>
        <v>2997.76</v>
      </c>
      <c r="E354" s="21" t="n">
        <f aca="false">D354-C354</f>
        <v>2568.35062134424</v>
      </c>
      <c r="F354" s="21" t="n">
        <f aca="false">B354+C354-D354</f>
        <v>83313.5251098088</v>
      </c>
    </row>
    <row r="355" customFormat="false" ht="15" hidden="false" customHeight="false" outlineLevel="0" collapsed="false">
      <c r="A355" s="13" t="n">
        <v>331</v>
      </c>
      <c r="B355" s="21" t="n">
        <f aca="false">F354</f>
        <v>83313.5251098088</v>
      </c>
      <c r="C355" s="21" t="n">
        <f aca="false">B355*$B$12</f>
        <v>416.567625549044</v>
      </c>
      <c r="D355" s="21" t="n">
        <f aca="false">MIN($B$15,B355+C355)</f>
        <v>2997.76</v>
      </c>
      <c r="E355" s="21" t="n">
        <f aca="false">D355-C355</f>
        <v>2581.19237445096</v>
      </c>
      <c r="F355" s="21" t="n">
        <f aca="false">B355+C355-D355</f>
        <v>80732.3327353579</v>
      </c>
    </row>
    <row r="356" customFormat="false" ht="15" hidden="false" customHeight="false" outlineLevel="0" collapsed="false">
      <c r="A356" s="13" t="n">
        <v>332</v>
      </c>
      <c r="B356" s="21" t="n">
        <f aca="false">F355</f>
        <v>80732.3327353579</v>
      </c>
      <c r="C356" s="21" t="n">
        <f aca="false">B356*$B$12</f>
        <v>403.661663676789</v>
      </c>
      <c r="D356" s="21" t="n">
        <f aca="false">MIN($B$15,B356+C356)</f>
        <v>2997.76</v>
      </c>
      <c r="E356" s="21" t="n">
        <f aca="false">D356-C356</f>
        <v>2594.09833632321</v>
      </c>
      <c r="F356" s="21" t="n">
        <f aca="false">B356+C356-D356</f>
        <v>78138.2343990347</v>
      </c>
    </row>
    <row r="357" customFormat="false" ht="15" hidden="false" customHeight="false" outlineLevel="0" collapsed="false">
      <c r="A357" s="13" t="n">
        <v>333</v>
      </c>
      <c r="B357" s="21" t="n">
        <f aca="false">F356</f>
        <v>78138.2343990347</v>
      </c>
      <c r="C357" s="21" t="n">
        <f aca="false">B357*$B$12</f>
        <v>390.691171995173</v>
      </c>
      <c r="D357" s="21" t="n">
        <f aca="false">MIN($B$15,B357+C357)</f>
        <v>2997.76</v>
      </c>
      <c r="E357" s="21" t="n">
        <f aca="false">D357-C357</f>
        <v>2607.06882800483</v>
      </c>
      <c r="F357" s="21" t="n">
        <f aca="false">B357+C357-D357</f>
        <v>75531.1655710298</v>
      </c>
    </row>
    <row r="358" customFormat="false" ht="15" hidden="false" customHeight="false" outlineLevel="0" collapsed="false">
      <c r="A358" s="13" t="n">
        <v>334</v>
      </c>
      <c r="B358" s="21" t="n">
        <f aca="false">F357</f>
        <v>75531.1655710298</v>
      </c>
      <c r="C358" s="21" t="n">
        <f aca="false">B358*$B$12</f>
        <v>377.655827855149</v>
      </c>
      <c r="D358" s="21" t="n">
        <f aca="false">MIN($B$15,B358+C358)</f>
        <v>2997.76</v>
      </c>
      <c r="E358" s="21" t="n">
        <f aca="false">D358-C358</f>
        <v>2620.10417214485</v>
      </c>
      <c r="F358" s="21" t="n">
        <f aca="false">B358+C358-D358</f>
        <v>72911.061398885</v>
      </c>
    </row>
    <row r="359" customFormat="false" ht="15" hidden="false" customHeight="false" outlineLevel="0" collapsed="false">
      <c r="A359" s="13" t="n">
        <v>335</v>
      </c>
      <c r="B359" s="21" t="n">
        <f aca="false">F358</f>
        <v>72911.061398885</v>
      </c>
      <c r="C359" s="21" t="n">
        <f aca="false">B359*$B$12</f>
        <v>364.555306994425</v>
      </c>
      <c r="D359" s="21" t="n">
        <f aca="false">MIN($B$15,B359+C359)</f>
        <v>2997.76</v>
      </c>
      <c r="E359" s="21" t="n">
        <f aca="false">D359-C359</f>
        <v>2633.20469300558</v>
      </c>
      <c r="F359" s="21" t="n">
        <f aca="false">B359+C359-D359</f>
        <v>70277.8567058794</v>
      </c>
    </row>
    <row r="360" customFormat="false" ht="15" hidden="false" customHeight="false" outlineLevel="0" collapsed="false">
      <c r="A360" s="13" t="n">
        <v>336</v>
      </c>
      <c r="B360" s="21" t="n">
        <f aca="false">F359</f>
        <v>70277.8567058794</v>
      </c>
      <c r="C360" s="21" t="n">
        <f aca="false">B360*$B$12</f>
        <v>351.389283529397</v>
      </c>
      <c r="D360" s="21" t="n">
        <f aca="false">MIN($B$15,B360+C360)</f>
        <v>2997.76</v>
      </c>
      <c r="E360" s="21" t="n">
        <f aca="false">D360-C360</f>
        <v>2646.3707164706</v>
      </c>
      <c r="F360" s="21" t="n">
        <f aca="false">B360+C360-D360</f>
        <v>67631.4859894088</v>
      </c>
    </row>
    <row r="361" customFormat="false" ht="15" hidden="false" customHeight="false" outlineLevel="0" collapsed="false">
      <c r="A361" s="13" t="n">
        <v>337</v>
      </c>
      <c r="B361" s="21" t="n">
        <f aca="false">F360</f>
        <v>67631.4859894088</v>
      </c>
      <c r="C361" s="21" t="n">
        <f aca="false">B361*$B$12</f>
        <v>338.157429947044</v>
      </c>
      <c r="D361" s="21" t="n">
        <f aca="false">MIN($B$15,B361+C361)</f>
        <v>2997.76</v>
      </c>
      <c r="E361" s="21" t="n">
        <f aca="false">D361-C361</f>
        <v>2659.60257005296</v>
      </c>
      <c r="F361" s="21" t="n">
        <f aca="false">B361+C361-D361</f>
        <v>64971.8834193559</v>
      </c>
    </row>
    <row r="362" customFormat="false" ht="15" hidden="false" customHeight="false" outlineLevel="0" collapsed="false">
      <c r="A362" s="13" t="n">
        <v>338</v>
      </c>
      <c r="B362" s="21" t="n">
        <f aca="false">F361</f>
        <v>64971.8834193559</v>
      </c>
      <c r="C362" s="21" t="n">
        <f aca="false">B362*$B$12</f>
        <v>324.859417096779</v>
      </c>
      <c r="D362" s="21" t="n">
        <f aca="false">MIN($B$15,B362+C362)</f>
        <v>2997.76</v>
      </c>
      <c r="E362" s="21" t="n">
        <f aca="false">D362-C362</f>
        <v>2672.90058290322</v>
      </c>
      <c r="F362" s="21" t="n">
        <f aca="false">B362+C362-D362</f>
        <v>62298.9828364526</v>
      </c>
    </row>
    <row r="363" customFormat="false" ht="15" hidden="false" customHeight="false" outlineLevel="0" collapsed="false">
      <c r="A363" s="13" t="n">
        <v>339</v>
      </c>
      <c r="B363" s="21" t="n">
        <f aca="false">F362</f>
        <v>62298.9828364526</v>
      </c>
      <c r="C363" s="21" t="n">
        <f aca="false">B363*$B$12</f>
        <v>311.494914182263</v>
      </c>
      <c r="D363" s="21" t="n">
        <f aca="false">MIN($B$15,B363+C363)</f>
        <v>2997.76</v>
      </c>
      <c r="E363" s="21" t="n">
        <f aca="false">D363-C363</f>
        <v>2686.26508581774</v>
      </c>
      <c r="F363" s="21" t="n">
        <f aca="false">B363+C363-D363</f>
        <v>59612.7177506349</v>
      </c>
    </row>
    <row r="364" customFormat="false" ht="15" hidden="false" customHeight="false" outlineLevel="0" collapsed="false">
      <c r="A364" s="13" t="n">
        <v>340</v>
      </c>
      <c r="B364" s="21" t="n">
        <f aca="false">F363</f>
        <v>59612.7177506349</v>
      </c>
      <c r="C364" s="21" t="n">
        <f aca="false">B364*$B$12</f>
        <v>298.063588753175</v>
      </c>
      <c r="D364" s="21" t="n">
        <f aca="false">MIN($B$15,B364+C364)</f>
        <v>2997.76</v>
      </c>
      <c r="E364" s="21" t="n">
        <f aca="false">D364-C364</f>
        <v>2699.69641124683</v>
      </c>
      <c r="F364" s="21" t="n">
        <f aca="false">B364+C364-D364</f>
        <v>56913.0213393881</v>
      </c>
    </row>
    <row r="365" customFormat="false" ht="15" hidden="false" customHeight="false" outlineLevel="0" collapsed="false">
      <c r="A365" s="13" t="n">
        <v>341</v>
      </c>
      <c r="B365" s="21" t="n">
        <f aca="false">F364</f>
        <v>56913.0213393881</v>
      </c>
      <c r="C365" s="21" t="n">
        <f aca="false">B365*$B$12</f>
        <v>284.56510669694</v>
      </c>
      <c r="D365" s="21" t="n">
        <f aca="false">MIN($B$15,B365+C365)</f>
        <v>2997.76</v>
      </c>
      <c r="E365" s="21" t="n">
        <f aca="false">D365-C365</f>
        <v>2713.19489330306</v>
      </c>
      <c r="F365" s="21" t="n">
        <f aca="false">B365+C365-D365</f>
        <v>54199.826446085</v>
      </c>
    </row>
    <row r="366" customFormat="false" ht="15" hidden="false" customHeight="false" outlineLevel="0" collapsed="false">
      <c r="A366" s="13" t="n">
        <v>342</v>
      </c>
      <c r="B366" s="21" t="n">
        <f aca="false">F365</f>
        <v>54199.826446085</v>
      </c>
      <c r="C366" s="21" t="n">
        <f aca="false">B366*$B$12</f>
        <v>270.999132230425</v>
      </c>
      <c r="D366" s="21" t="n">
        <f aca="false">MIN($B$15,B366+C366)</f>
        <v>2997.76</v>
      </c>
      <c r="E366" s="21" t="n">
        <f aca="false">D366-C366</f>
        <v>2726.76086776958</v>
      </c>
      <c r="F366" s="21" t="n">
        <f aca="false">B366+C366-D366</f>
        <v>51473.0655783154</v>
      </c>
    </row>
    <row r="367" customFormat="false" ht="15" hidden="false" customHeight="false" outlineLevel="0" collapsed="false">
      <c r="A367" s="13" t="n">
        <v>343</v>
      </c>
      <c r="B367" s="21" t="n">
        <f aca="false">F366</f>
        <v>51473.0655783154</v>
      </c>
      <c r="C367" s="21" t="n">
        <f aca="false">B367*$B$12</f>
        <v>257.365327891577</v>
      </c>
      <c r="D367" s="21" t="n">
        <f aca="false">MIN($B$15,B367+C367)</f>
        <v>2997.76</v>
      </c>
      <c r="E367" s="21" t="n">
        <f aca="false">D367-C367</f>
        <v>2740.39467210842</v>
      </c>
      <c r="F367" s="21" t="n">
        <f aca="false">B367+C367-D367</f>
        <v>48732.670906207</v>
      </c>
    </row>
    <row r="368" customFormat="false" ht="15" hidden="false" customHeight="false" outlineLevel="0" collapsed="false">
      <c r="A368" s="13" t="n">
        <v>344</v>
      </c>
      <c r="B368" s="21" t="n">
        <f aca="false">F367</f>
        <v>48732.670906207</v>
      </c>
      <c r="C368" s="21" t="n">
        <f aca="false">B368*$B$12</f>
        <v>243.663354531035</v>
      </c>
      <c r="D368" s="21" t="n">
        <f aca="false">MIN($B$15,B368+C368)</f>
        <v>2997.76</v>
      </c>
      <c r="E368" s="21" t="n">
        <f aca="false">D368-C368</f>
        <v>2754.09664546897</v>
      </c>
      <c r="F368" s="21" t="n">
        <f aca="false">B368+C368-D368</f>
        <v>45978.5742607381</v>
      </c>
    </row>
    <row r="369" customFormat="false" ht="15" hidden="false" customHeight="false" outlineLevel="0" collapsed="false">
      <c r="A369" s="13" t="n">
        <v>345</v>
      </c>
      <c r="B369" s="21" t="n">
        <f aca="false">F368</f>
        <v>45978.5742607381</v>
      </c>
      <c r="C369" s="21" t="n">
        <f aca="false">B369*$B$12</f>
        <v>229.89287130369</v>
      </c>
      <c r="D369" s="21" t="n">
        <f aca="false">MIN($B$15,B369+C369)</f>
        <v>2997.76</v>
      </c>
      <c r="E369" s="21" t="n">
        <f aca="false">D369-C369</f>
        <v>2767.86712869631</v>
      </c>
      <c r="F369" s="21" t="n">
        <f aca="false">B369+C369-D369</f>
        <v>43210.7071320417</v>
      </c>
    </row>
    <row r="370" customFormat="false" ht="15" hidden="false" customHeight="false" outlineLevel="0" collapsed="false">
      <c r="A370" s="13" t="n">
        <v>346</v>
      </c>
      <c r="B370" s="21" t="n">
        <f aca="false">F369</f>
        <v>43210.7071320417</v>
      </c>
      <c r="C370" s="21" t="n">
        <f aca="false">B370*$B$12</f>
        <v>216.053535660209</v>
      </c>
      <c r="D370" s="21" t="n">
        <f aca="false">MIN($B$15,B370+C370)</f>
        <v>2997.76</v>
      </c>
      <c r="E370" s="21" t="n">
        <f aca="false">D370-C370</f>
        <v>2781.70646433979</v>
      </c>
      <c r="F370" s="21" t="n">
        <f aca="false">B370+C370-D370</f>
        <v>40429.000667702</v>
      </c>
    </row>
    <row r="371" customFormat="false" ht="15" hidden="false" customHeight="false" outlineLevel="0" collapsed="false">
      <c r="A371" s="13" t="n">
        <v>347</v>
      </c>
      <c r="B371" s="21" t="n">
        <f aca="false">F370</f>
        <v>40429.000667702</v>
      </c>
      <c r="C371" s="21" t="n">
        <f aca="false">B371*$B$12</f>
        <v>202.14500333851</v>
      </c>
      <c r="D371" s="21" t="n">
        <f aca="false">MIN($B$15,B371+C371)</f>
        <v>2997.76</v>
      </c>
      <c r="E371" s="21" t="n">
        <f aca="false">D371-C371</f>
        <v>2795.61499666149</v>
      </c>
      <c r="F371" s="21" t="n">
        <f aca="false">B371+C371-D371</f>
        <v>37633.3856710405</v>
      </c>
    </row>
    <row r="372" customFormat="false" ht="15" hidden="false" customHeight="false" outlineLevel="0" collapsed="false">
      <c r="A372" s="13" t="n">
        <v>348</v>
      </c>
      <c r="B372" s="21" t="n">
        <f aca="false">F371</f>
        <v>37633.3856710405</v>
      </c>
      <c r="C372" s="21" t="n">
        <f aca="false">B372*$B$12</f>
        <v>188.166928355202</v>
      </c>
      <c r="D372" s="21" t="n">
        <f aca="false">MIN($B$15,B372+C372)</f>
        <v>2997.76</v>
      </c>
      <c r="E372" s="21" t="n">
        <f aca="false">D372-C372</f>
        <v>2809.5930716448</v>
      </c>
      <c r="F372" s="21" t="n">
        <f aca="false">B372+C372-D372</f>
        <v>34823.7925993957</v>
      </c>
    </row>
    <row r="373" customFormat="false" ht="15" hidden="false" customHeight="false" outlineLevel="0" collapsed="false">
      <c r="A373" s="13" t="n">
        <v>349</v>
      </c>
      <c r="B373" s="21" t="n">
        <f aca="false">F372</f>
        <v>34823.7925993957</v>
      </c>
      <c r="C373" s="21" t="n">
        <f aca="false">B373*$B$12</f>
        <v>174.118962996978</v>
      </c>
      <c r="D373" s="21" t="n">
        <f aca="false">MIN($B$15,B373+C373)</f>
        <v>2997.76</v>
      </c>
      <c r="E373" s="21" t="n">
        <f aca="false">D373-C373</f>
        <v>2823.64103700302</v>
      </c>
      <c r="F373" s="21" t="n">
        <f aca="false">B373+C373-D373</f>
        <v>32000.1515623926</v>
      </c>
    </row>
    <row r="374" customFormat="false" ht="15" hidden="false" customHeight="false" outlineLevel="0" collapsed="false">
      <c r="A374" s="13" t="n">
        <v>350</v>
      </c>
      <c r="B374" s="21" t="n">
        <f aca="false">F373</f>
        <v>32000.1515623926</v>
      </c>
      <c r="C374" s="21" t="n">
        <f aca="false">B374*$B$12</f>
        <v>160.000757811963</v>
      </c>
      <c r="D374" s="21" t="n">
        <f aca="false">MIN($B$15,B374+C374)</f>
        <v>2997.76</v>
      </c>
      <c r="E374" s="21" t="n">
        <f aca="false">D374-C374</f>
        <v>2837.75924218804</v>
      </c>
      <c r="F374" s="21" t="n">
        <f aca="false">B374+C374-D374</f>
        <v>29162.3923202046</v>
      </c>
    </row>
    <row r="375" customFormat="false" ht="15" hidden="false" customHeight="false" outlineLevel="0" collapsed="false">
      <c r="A375" s="13" t="n">
        <v>351</v>
      </c>
      <c r="B375" s="21" t="n">
        <f aca="false">F374</f>
        <v>29162.3923202046</v>
      </c>
      <c r="C375" s="21" t="n">
        <f aca="false">B375*$B$12</f>
        <v>145.811961601023</v>
      </c>
      <c r="D375" s="21" t="n">
        <f aca="false">MIN($B$15,B375+C375)</f>
        <v>2997.76</v>
      </c>
      <c r="E375" s="21" t="n">
        <f aca="false">D375-C375</f>
        <v>2851.94803839898</v>
      </c>
      <c r="F375" s="21" t="n">
        <f aca="false">B375+C375-D375</f>
        <v>26310.4442818056</v>
      </c>
    </row>
    <row r="376" customFormat="false" ht="15" hidden="false" customHeight="false" outlineLevel="0" collapsed="false">
      <c r="A376" s="13" t="n">
        <v>352</v>
      </c>
      <c r="B376" s="21" t="n">
        <f aca="false">F375</f>
        <v>26310.4442818056</v>
      </c>
      <c r="C376" s="21" t="n">
        <f aca="false">B376*$B$12</f>
        <v>131.552221409028</v>
      </c>
      <c r="D376" s="21" t="n">
        <f aca="false">MIN($B$15,B376+C376)</f>
        <v>2997.76</v>
      </c>
      <c r="E376" s="21" t="n">
        <f aca="false">D376-C376</f>
        <v>2866.20777859097</v>
      </c>
      <c r="F376" s="21" t="n">
        <f aca="false">B376+C376-D376</f>
        <v>23444.2365032146</v>
      </c>
    </row>
    <row r="377" customFormat="false" ht="15" hidden="false" customHeight="false" outlineLevel="0" collapsed="false">
      <c r="A377" s="13" t="n">
        <v>353</v>
      </c>
      <c r="B377" s="21" t="n">
        <f aca="false">F376</f>
        <v>23444.2365032146</v>
      </c>
      <c r="C377" s="21" t="n">
        <f aca="false">B377*$B$12</f>
        <v>117.221182516073</v>
      </c>
      <c r="D377" s="21" t="n">
        <f aca="false">MIN($B$15,B377+C377)</f>
        <v>2997.76</v>
      </c>
      <c r="E377" s="21" t="n">
        <f aca="false">D377-C377</f>
        <v>2880.53881748393</v>
      </c>
      <c r="F377" s="21" t="n">
        <f aca="false">B377+C377-D377</f>
        <v>20563.6976857307</v>
      </c>
    </row>
    <row r="378" customFormat="false" ht="15" hidden="false" customHeight="false" outlineLevel="0" collapsed="false">
      <c r="A378" s="13" t="n">
        <v>354</v>
      </c>
      <c r="B378" s="21" t="n">
        <f aca="false">F377</f>
        <v>20563.6976857307</v>
      </c>
      <c r="C378" s="21" t="n">
        <f aca="false">B378*$B$12</f>
        <v>102.818488428654</v>
      </c>
      <c r="D378" s="21" t="n">
        <f aca="false">MIN($B$15,B378+C378)</f>
        <v>2997.76</v>
      </c>
      <c r="E378" s="21" t="n">
        <f aca="false">D378-C378</f>
        <v>2894.94151157135</v>
      </c>
      <c r="F378" s="21" t="n">
        <f aca="false">B378+C378-D378</f>
        <v>17668.7561741594</v>
      </c>
    </row>
    <row r="379" customFormat="false" ht="15" hidden="false" customHeight="false" outlineLevel="0" collapsed="false">
      <c r="A379" s="13" t="n">
        <v>355</v>
      </c>
      <c r="B379" s="21" t="n">
        <f aca="false">F378</f>
        <v>17668.7561741594</v>
      </c>
      <c r="C379" s="21" t="n">
        <f aca="false">B379*$B$12</f>
        <v>88.3437808707969</v>
      </c>
      <c r="D379" s="21" t="n">
        <f aca="false">MIN($B$15,B379+C379)</f>
        <v>2997.76</v>
      </c>
      <c r="E379" s="21" t="n">
        <f aca="false">D379-C379</f>
        <v>2909.4162191292</v>
      </c>
      <c r="F379" s="21" t="n">
        <f aca="false">B379+C379-D379</f>
        <v>14759.3399550302</v>
      </c>
    </row>
    <row r="380" customFormat="false" ht="15" hidden="false" customHeight="false" outlineLevel="0" collapsed="false">
      <c r="A380" s="13" t="n">
        <v>356</v>
      </c>
      <c r="B380" s="21" t="n">
        <f aca="false">F379</f>
        <v>14759.3399550302</v>
      </c>
      <c r="C380" s="21" t="n">
        <f aca="false">B380*$B$12</f>
        <v>73.7966997751509</v>
      </c>
      <c r="D380" s="21" t="n">
        <f aca="false">MIN($B$15,B380+C380)</f>
        <v>2997.76</v>
      </c>
      <c r="E380" s="21" t="n">
        <f aca="false">D380-C380</f>
        <v>2923.96330022485</v>
      </c>
      <c r="F380" s="21" t="n">
        <f aca="false">B380+C380-D380</f>
        <v>11835.3766548053</v>
      </c>
    </row>
    <row r="381" customFormat="false" ht="15" hidden="false" customHeight="false" outlineLevel="0" collapsed="false">
      <c r="A381" s="13" t="n">
        <v>357</v>
      </c>
      <c r="B381" s="21" t="n">
        <f aca="false">F380</f>
        <v>11835.3766548053</v>
      </c>
      <c r="C381" s="21" t="n">
        <f aca="false">B381*$B$12</f>
        <v>59.1768832740266</v>
      </c>
      <c r="D381" s="21" t="n">
        <f aca="false">MIN($B$15,B381+C381)</f>
        <v>2997.76</v>
      </c>
      <c r="E381" s="21" t="n">
        <f aca="false">D381-C381</f>
        <v>2938.58311672597</v>
      </c>
      <c r="F381" s="21" t="n">
        <f aca="false">B381+C381-D381</f>
        <v>8896.79353807935</v>
      </c>
    </row>
    <row r="382" customFormat="false" ht="15" hidden="false" customHeight="false" outlineLevel="0" collapsed="false">
      <c r="A382" s="13" t="n">
        <v>358</v>
      </c>
      <c r="B382" s="21" t="n">
        <f aca="false">F381</f>
        <v>8896.79353807935</v>
      </c>
      <c r="C382" s="21" t="n">
        <f aca="false">B382*$B$12</f>
        <v>44.4839676903967</v>
      </c>
      <c r="D382" s="21" t="n">
        <f aca="false">MIN($B$15,B382+C382)</f>
        <v>2997.76</v>
      </c>
      <c r="E382" s="21" t="n">
        <f aca="false">D382-C382</f>
        <v>2953.2760323096</v>
      </c>
      <c r="F382" s="21" t="n">
        <f aca="false">B382+C382-D382</f>
        <v>5943.51750576975</v>
      </c>
    </row>
    <row r="383" customFormat="false" ht="15" hidden="false" customHeight="false" outlineLevel="0" collapsed="false">
      <c r="A383" s="13" t="n">
        <v>359</v>
      </c>
      <c r="B383" s="21" t="n">
        <f aca="false">F382</f>
        <v>5943.51750576975</v>
      </c>
      <c r="C383" s="21" t="n">
        <f aca="false">B383*$B$12</f>
        <v>29.7175875288487</v>
      </c>
      <c r="D383" s="21" t="n">
        <f aca="false">MIN($B$15,B383+C383)</f>
        <v>2997.76</v>
      </c>
      <c r="E383" s="21" t="n">
        <f aca="false">D383-C383</f>
        <v>2968.04241247115</v>
      </c>
      <c r="F383" s="21" t="n">
        <f aca="false">B383+C383-D383</f>
        <v>2975.47509329859</v>
      </c>
    </row>
    <row r="384" customFormat="false" ht="15" hidden="false" customHeight="false" outlineLevel="0" collapsed="false">
      <c r="A384" s="13" t="n">
        <v>360</v>
      </c>
      <c r="B384" s="21" t="n">
        <f aca="false">F383</f>
        <v>2975.47509329859</v>
      </c>
      <c r="C384" s="21" t="n">
        <f aca="false">B384*$B$12</f>
        <v>14.877375466493</v>
      </c>
      <c r="D384" s="21" t="n">
        <f aca="false">MIN($B$15,B384+C384)</f>
        <v>2990.35246876509</v>
      </c>
      <c r="E384" s="21" t="n">
        <f aca="false">D384-C384</f>
        <v>2975.47509329859</v>
      </c>
      <c r="F384" s="21" t="n">
        <f aca="false">B384+C384-D384</f>
        <v>0</v>
      </c>
    </row>
  </sheetData>
  <mergeCells count="12">
    <mergeCell ref="A1:Q1"/>
    <mergeCell ref="A2:Q2"/>
    <mergeCell ref="H5:Q6"/>
    <mergeCell ref="H7:Q7"/>
    <mergeCell ref="H8:Q9"/>
    <mergeCell ref="H10:Q10"/>
    <mergeCell ref="H11:Q11"/>
    <mergeCell ref="H12:Q14"/>
    <mergeCell ref="H17:Q17"/>
    <mergeCell ref="H18:Q19"/>
    <mergeCell ref="H20:Q20"/>
    <mergeCell ref="H21:Q2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8"/>
    <col collapsed="false" customWidth="true" hidden="false" outlineLevel="0" max="3" min="3" style="0" width="120"/>
  </cols>
  <sheetData>
    <row r="1" customFormat="false" ht="31.5" hidden="false" customHeight="true" outlineLevel="0" collapsed="false">
      <c r="A1" s="1" t="s">
        <v>160</v>
      </c>
      <c r="B1" s="1"/>
      <c r="C1" s="1"/>
    </row>
    <row r="2" customFormat="false" ht="31.5" hidden="false" customHeight="true" outlineLevel="0" collapsed="false">
      <c r="A2" s="2" t="s">
        <v>161</v>
      </c>
      <c r="B2" s="2"/>
      <c r="C2" s="2"/>
    </row>
    <row r="4" customFormat="false" ht="19.5" hidden="false" customHeight="true" outlineLevel="0" collapsed="false">
      <c r="A4" s="7" t="s">
        <v>12</v>
      </c>
      <c r="B4" s="7" t="s">
        <v>162</v>
      </c>
      <c r="C4" s="7" t="s">
        <v>163</v>
      </c>
    </row>
    <row r="5" customFormat="false" ht="31.5" hidden="false" customHeight="true" outlineLevel="0" collapsed="false">
      <c r="A5" s="22" t="s">
        <v>15</v>
      </c>
      <c r="B5" s="23" t="n">
        <v>1</v>
      </c>
      <c r="C5" s="24" t="s">
        <v>164</v>
      </c>
    </row>
    <row r="6" customFormat="false" ht="18" hidden="false" customHeight="true" outlineLevel="0" collapsed="false">
      <c r="A6" s="22" t="s">
        <v>15</v>
      </c>
      <c r="B6" s="23" t="n">
        <v>2</v>
      </c>
      <c r="C6" s="24" t="s">
        <v>165</v>
      </c>
    </row>
    <row r="7" customFormat="false" ht="45.75" hidden="false" customHeight="true" outlineLevel="0" collapsed="false">
      <c r="A7" s="22" t="s">
        <v>15</v>
      </c>
      <c r="B7" s="23" t="n">
        <v>3</v>
      </c>
      <c r="C7" s="24" t="s">
        <v>166</v>
      </c>
    </row>
    <row r="8" customFormat="false" ht="31.5" hidden="false" customHeight="true" outlineLevel="0" collapsed="false">
      <c r="A8" s="22" t="s">
        <v>18</v>
      </c>
      <c r="B8" s="23" t="n">
        <v>1</v>
      </c>
      <c r="C8" s="24" t="s">
        <v>167</v>
      </c>
    </row>
    <row r="9" customFormat="false" ht="18" hidden="false" customHeight="true" outlineLevel="0" collapsed="false">
      <c r="A9" s="22" t="s">
        <v>18</v>
      </c>
      <c r="B9" s="23" t="n">
        <v>2</v>
      </c>
      <c r="C9" s="24" t="s">
        <v>168</v>
      </c>
    </row>
    <row r="10" customFormat="false" ht="31.5" hidden="false" customHeight="true" outlineLevel="0" collapsed="false">
      <c r="A10" s="22" t="s">
        <v>18</v>
      </c>
      <c r="B10" s="23" t="n">
        <v>3</v>
      </c>
      <c r="C10" s="24" t="s">
        <v>169</v>
      </c>
    </row>
    <row r="11" customFormat="false" ht="18" hidden="false" customHeight="true" outlineLevel="0" collapsed="false">
      <c r="A11" s="22" t="s">
        <v>21</v>
      </c>
      <c r="B11" s="23" t="n">
        <v>1</v>
      </c>
      <c r="C11" s="24" t="s">
        <v>170</v>
      </c>
    </row>
    <row r="12" customFormat="false" ht="18" hidden="false" customHeight="true" outlineLevel="0" collapsed="false">
      <c r="A12" s="22" t="s">
        <v>21</v>
      </c>
      <c r="B12" s="23" t="n">
        <v>2</v>
      </c>
      <c r="C12" s="24" t="s">
        <v>171</v>
      </c>
    </row>
    <row r="13" customFormat="false" ht="45.75" hidden="false" customHeight="true" outlineLevel="0" collapsed="false">
      <c r="A13" s="22" t="s">
        <v>21</v>
      </c>
      <c r="B13" s="23" t="n">
        <v>3</v>
      </c>
      <c r="C13" s="24" t="s">
        <v>172</v>
      </c>
    </row>
    <row r="14" customFormat="false" ht="31.5" hidden="false" customHeight="true" outlineLevel="0" collapsed="false">
      <c r="A14" s="22" t="s">
        <v>23</v>
      </c>
      <c r="B14" s="23" t="n">
        <v>1</v>
      </c>
      <c r="C14" s="24" t="s">
        <v>173</v>
      </c>
    </row>
    <row r="15" customFormat="false" ht="18" hidden="false" customHeight="true" outlineLevel="0" collapsed="false">
      <c r="A15" s="22" t="s">
        <v>23</v>
      </c>
      <c r="B15" s="23" t="n">
        <v>2</v>
      </c>
      <c r="C15" s="24" t="s">
        <v>174</v>
      </c>
    </row>
    <row r="16" customFormat="false" ht="18" hidden="false" customHeight="true" outlineLevel="0" collapsed="false">
      <c r="A16" s="22" t="s">
        <v>23</v>
      </c>
      <c r="B16" s="23" t="n">
        <v>3</v>
      </c>
      <c r="C16" s="24" t="s">
        <v>175</v>
      </c>
    </row>
    <row r="17" customFormat="false" ht="18" hidden="false" customHeight="true" outlineLevel="0" collapsed="false">
      <c r="A17" s="22" t="s">
        <v>26</v>
      </c>
      <c r="B17" s="23" t="n">
        <v>1</v>
      </c>
      <c r="C17" s="24" t="s">
        <v>176</v>
      </c>
    </row>
    <row r="18" customFormat="false" ht="31.5" hidden="false" customHeight="true" outlineLevel="0" collapsed="false">
      <c r="A18" s="22" t="s">
        <v>26</v>
      </c>
      <c r="B18" s="23" t="n">
        <v>2</v>
      </c>
      <c r="C18" s="24" t="s">
        <v>177</v>
      </c>
    </row>
    <row r="19" customFormat="false" ht="18" hidden="false" customHeight="true" outlineLevel="0" collapsed="false">
      <c r="A19" s="22" t="s">
        <v>26</v>
      </c>
      <c r="B19" s="23" t="n">
        <v>3</v>
      </c>
      <c r="C19" s="24" t="s">
        <v>178</v>
      </c>
    </row>
    <row r="20" customFormat="false" ht="31.5" hidden="false" customHeight="true" outlineLevel="0" collapsed="false">
      <c r="A20" s="22" t="s">
        <v>26</v>
      </c>
      <c r="B20" s="23" t="n">
        <v>4</v>
      </c>
      <c r="C20" s="24" t="s">
        <v>179</v>
      </c>
    </row>
  </sheetData>
  <mergeCells count="2">
    <mergeCell ref="A1:C1"/>
    <mergeCell ref="A2:C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2026-10-08T23:49:29Z</dcterms:created>
  <dc:creator>openpyxl</dc:creator>
  <dc:description/>
  <dc:language>en-US</dc:language>
  <cp:lastModifiedBy/>
  <dcterms:modified xsi:type="dcterms:W3CDTF">2026-10-09T10:49:39Z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